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on Roadmap" sheetId="2" state="visible" r:id="rId4"/>
    <sheet name="Action Tracker" sheetId="3" state="visible" r:id="rId5"/>
    <sheet name="Contact Cards" sheetId="4" state="visible" r:id="rId6"/>
    <sheet name="Warm Intro List" sheetId="5" state="visible" r:id="rId7"/>
    <sheet name="Universe" sheetId="6" state="visible" r:id="rId8"/>
    <sheet name="Warm Paths" sheetId="7" state="visible" r:id="rId9"/>
    <sheet name="Network Intros" sheetId="8" state="visible" r:id="rId10"/>
    <sheet name="Lege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<sst xmlns="http://schemas.openxmlformats.org/spreadsheetml/2006/main" count="1257" uniqueCount="638">
  <si>
    <t xml:space="preserve">PROJECT ATLAS  ·  Sample Mandate Roadmap (contact-level)</t>
  </si>
  <si>
    <t xml:space="preserve">SAMPLE PACK. All names, firms and contact details are fictional, for illustration only. In a live pack this is mapped from your own contacts, LinkedIn, HubSpot and prior deals, and any missing signal is labelled 'not captured', never invented.</t>
  </si>
  <si>
    <t xml:space="preserve">MANDATE BRIEF</t>
  </si>
  <si>
    <t xml:space="preserve">Mandate codename</t>
  </si>
  <si>
    <t xml:space="preserve">Project Atlas</t>
  </si>
  <si>
    <t xml:space="preserve">Business</t>
  </si>
  <si>
    <t xml:space="preserve">Commercial interior fit-out &amp; refurbishment group. National delivery, QLD HQ.</t>
  </si>
  <si>
    <t xml:space="preserve">Adviser</t>
  </si>
  <si>
    <t xml:space="preserve">[Adviser] / [Firm]</t>
  </si>
  <si>
    <t xml:space="preserve">Deal type</t>
  </si>
  <si>
    <t xml:space="preserve">Full sale (100%). Open to 70%+ with founder rollover.</t>
  </si>
  <si>
    <t xml:space="preserve">Indicative size</t>
  </si>
  <si>
    <t xml:space="preserve">EV $80m - $100m  (6.5x - 8.0x EBITDA)</t>
  </si>
  <si>
    <t xml:space="preserve">Financials</t>
  </si>
  <si>
    <t xml:space="preserve">Revenue ~$58m. EBITDA ~$12m.</t>
  </si>
  <si>
    <t xml:space="preserve">Timeline</t>
  </si>
  <si>
    <t xml:space="preserve">Teaser out wk 3. IOIs wk 8.</t>
  </si>
  <si>
    <t xml:space="preserve">What good looks like</t>
  </si>
  <si>
    <t xml:space="preserve">Strategic in adjacent construction/services OR PE platform play with buy-and-build intent.</t>
  </si>
  <si>
    <t xml:space="preserve">Do not contact</t>
  </si>
  <si>
    <t xml:space="preserve">Vantage Interiors, Northgate Construct (competitors, prior failed approach).</t>
  </si>
  <si>
    <t xml:space="preserve">UNIVERSE AT A GLANCE</t>
  </si>
  <si>
    <t xml:space="preserve">Total contacts in universe</t>
  </si>
  <si>
    <t xml:space="preserve">Priority P1 contacts</t>
  </si>
  <si>
    <t xml:space="preserve">Priority P2 contacts</t>
  </si>
  <si>
    <t xml:space="preserve">Priority P3 contacts</t>
  </si>
  <si>
    <t xml:space="preserve">With own warm path</t>
  </si>
  <si>
    <t xml:space="preserve">Reachable via network intro</t>
  </si>
  <si>
    <t xml:space="preserve">Source: Your DB</t>
  </si>
  <si>
    <t xml:space="preserve">Source: Pipeline (net-new)</t>
  </si>
  <si>
    <t xml:space="preserve">Source: Seed (adviser-seeded)</t>
  </si>
  <si>
    <t xml:space="preserve">MANDATE READINESS</t>
  </si>
  <si>
    <t xml:space="preserve">P1 + P2 contacts with a warm path</t>
  </si>
  <si>
    <t xml:space="preserve">High-conviction contacts (match 80+)</t>
  </si>
  <si>
    <t xml:space="preserve">Do not contact, suppressed</t>
  </si>
  <si>
    <t xml:space="preserve">2 names (Vantage Interiors, Northgate Construct), validated against adviser DNC list</t>
  </si>
  <si>
    <t xml:space="preserve">Readiness status</t>
  </si>
  <si>
    <t xml:space="preserve">HOW TO USE THIS</t>
  </si>
  <si>
    <t xml:space="preserve">Your cockpit, use daily</t>
  </si>
  <si>
    <t xml:space="preserve">Action Tracker + Contact Cards. Work here every day. Action Tracker shows every contact in execution order with a one-click action. Open the Contact Card before you act, it has the full dossier, draft email and LinkedIn message ready.</t>
  </si>
  <si>
    <t xml:space="preserve">For network intros</t>
  </si>
  <si>
    <t xml:space="preserve">Warm Intro List. Use when activating a bridge or an Iceberg network intro. Mark Proceed (Y / N / M), then trigger from here.</t>
  </si>
  <si>
    <t xml:space="preserve">For planning waves</t>
  </si>
  <si>
    <t xml:space="preserve">Execution Roadmap. Review before starting each wave, it sets the sequence and explains why each contact comes when it does.</t>
  </si>
  <si>
    <t xml:space="preserve">Reference only</t>
  </si>
  <si>
    <t xml:space="preserve">Universe  ·  Warm Paths  ·  Network Intros  ·  Legend</t>
  </si>
  <si>
    <t xml:space="preserve">EXECUTION ROADMAP   ·   SAMPLE (illustrative data)</t>
  </si>
  <si>
    <t xml:space="preserve">The play-by-play. Who to approach, in what order, and why.</t>
  </si>
  <si>
    <t xml:space="preserve">Wave</t>
  </si>
  <si>
    <t xml:space="preserve">Timing</t>
  </si>
  <si>
    <t xml:space="preserve">Who (contacts)</t>
  </si>
  <si>
    <t xml:space="preserve">Route in</t>
  </si>
  <si>
    <t xml:space="preserve">Why this, now</t>
  </si>
  <si>
    <t xml:space="preserve">What to do</t>
  </si>
  <si>
    <t xml:space="preserve">Wave 1</t>
  </si>
  <si>
    <t xml:space="preserve">Days 0-10</t>
  </si>
  <si>
    <t xml:space="preserve">Rivers (Meridian), Hayes (Kingsford), Elding (Quadrey)</t>
  </si>
  <si>
    <t xml:space="preserve">Own warm path</t>
  </si>
  <si>
    <t xml:space="preserve">Highest match and a real relationship already exists. Fastest to NDA, lowest signalling risk.</t>
  </si>
  <si>
    <t xml:space="preserve">Personal outreach via the named connector. Anonymised teaser. NDA + first call inside 10 days.</t>
  </si>
  <si>
    <t xml:space="preserve">Wave 2</t>
  </si>
  <si>
    <t xml:space="preserve">Days 10-25</t>
  </si>
  <si>
    <t xml:space="preserve">Holt, Naidu, Ware (Nexa), Keller (Acroter)</t>
  </si>
  <si>
    <t xml:space="preserve">Direct + 1 network intro</t>
  </si>
  <si>
    <t xml:space="preserve">Core buyer universe, strong match, no deep relationship. Approach once Wave 1 gives tension to reference.</t>
  </si>
  <si>
    <t xml:space="preserve">Adviser-led for strategics. Network intro for Ware at Nexa. Tight parallel batch.</t>
  </si>
  <si>
    <t xml:space="preserve">Wave 3</t>
  </si>
  <si>
    <t xml:space="preserve">Days 25-40</t>
  </si>
  <si>
    <t xml:space="preserve">Kovac, Reid, Doan, Turner FO, Ironside Group (hold)</t>
  </si>
  <si>
    <t xml:space="preserve">Network intros + cold funnel</t>
  </si>
  <si>
    <t xml:space="preserve">Widen the funnel. International and net-new where own paths are thin.</t>
  </si>
  <si>
    <t xml:space="preserve">Double opt-in intros for Kovac + Reid. Hold Ironside Group. Cold-approach the funnel in match order.</t>
  </si>
  <si>
    <t xml:space="preserve">ACTION TRACKER   ·   SAMPLE (illustrative data)</t>
  </si>
  <si>
    <t xml:space="preserve">The one tab to work from. Full context per contact, then a one-click action. Mark Done?, set the Stage, add notes as you go.</t>
  </si>
  <si>
    <t xml:space="preserve">Lead</t>
  </si>
  <si>
    <t xml:space="preserve">Outreach sent</t>
  </si>
  <si>
    <t xml:space="preserve">Replied</t>
  </si>
  <si>
    <t xml:space="preserve">Meeting booked</t>
  </si>
  <si>
    <t xml:space="preserve">DD begun</t>
  </si>
  <si>
    <t xml:space="preserve">Passed</t>
  </si>
  <si>
    <t xml:space="preserve">Funnel updates live from the Stage column.</t>
  </si>
  <si>
    <t xml:space="preserve">#</t>
  </si>
  <si>
    <t xml:space="preserve">Contact</t>
  </si>
  <si>
    <t xml:space="preserve">Title</t>
  </si>
  <si>
    <t xml:space="preserve">Firm</t>
  </si>
  <si>
    <t xml:space="preserve">Sector</t>
  </si>
  <si>
    <t xml:space="preserve">Check size</t>
  </si>
  <si>
    <t xml:space="preserve">Match</t>
  </si>
  <si>
    <t xml:space="preserve">Prior deals</t>
  </si>
  <si>
    <t xml:space="preserve">Why this contact</t>
  </si>
  <si>
    <t xml:space="preserve">Recommended action</t>
  </si>
  <si>
    <t xml:space="preserve">Done?</t>
  </si>
  <si>
    <t xml:space="preserve">Stage</t>
  </si>
  <si>
    <t xml:space="preserve">Notes</t>
  </si>
  <si>
    <t xml:space="preserve">Action (click)</t>
  </si>
  <si>
    <t xml:space="preserve">Relationship owner</t>
  </si>
  <si>
    <t xml:space="preserve">Delegate / action owner</t>
  </si>
  <si>
    <t xml:space="preserve">Relationship risk</t>
  </si>
  <si>
    <t xml:space="preserve">Daniel Rivers</t>
  </si>
  <si>
    <t xml:space="preserve">GM Corporate Development</t>
  </si>
  <si>
    <t xml:space="preserve">Meridian Fitout Group</t>
  </si>
  <si>
    <t xml:space="preserve">Commercial fit-out / interiors</t>
  </si>
  <si>
    <t xml:space="preserve">Trade buyer. Can fund full EV $80-100m via balance sheet + debt.</t>
  </si>
  <si>
    <t xml:space="preserve">Acquired 2 regional fit-out firms (2021, 2023). Active consolidator.</t>
  </si>
  <si>
    <t xml:space="preserve">Most strategic acquirer in the universe. Pure-play fit-out, Atlas adds QLD scale + refurb. Rivers owns corp dev. A prior deal plus a live relationship make this the highest-conviction approach.</t>
  </si>
  <si>
    <t xml:space="preserve">Call Rivers directly. 15 min on a confidential opportunity in his space. Anonymised teaser, aim NDA + first call inside 10 days.</t>
  </si>
  <si>
    <t xml:space="preserve">Yes</t>
  </si>
  <si>
    <t xml:space="preserve">Call went well. NDA signed.</t>
  </si>
  <si>
    <t xml:space="preserve">Open outreach email</t>
  </si>
  <si>
    <t xml:space="preserve">, </t>
  </si>
  <si>
    <t xml:space="preserve">Tobias Elding</t>
  </si>
  <si>
    <t xml:space="preserve">Partner</t>
  </si>
  <si>
    <t xml:space="preserve">Quadrey Private Equity</t>
  </si>
  <si>
    <t xml:space="preserve">Mid-market buyout, services roll-ups</t>
  </si>
  <si>
    <t xml:space="preserve">$50-200m equity per platform.</t>
  </si>
  <si>
    <t xml:space="preserve">Owned a facilities-services platform, exited 2022 at a strong multiple.</t>
  </si>
  <si>
    <t xml:space="preserve">Active in AU services roll-ups, would see Atlas as a platform. Prior counterparty, so a credible direct reconnect rather than a cold approach.</t>
  </si>
  <si>
    <t xml:space="preserve">Reconnect with Elding directly. Reference the 2021 process. Send the anonymised one-pager.</t>
  </si>
  <si>
    <t xml:space="preserve">Interested, wants the teaser.</t>
  </si>
  <si>
    <t xml:space="preserve">Martin Hayes</t>
  </si>
  <si>
    <t xml:space="preserve">Head of M&amp;A</t>
  </si>
  <si>
    <t xml:space="preserve">Kingsford Construct</t>
  </si>
  <si>
    <t xml:space="preserve">Commercial construction moving into interiors</t>
  </si>
  <si>
    <t xml:space="preserve">Mid-large. $50m+ acquisitions typical.</t>
  </si>
  <si>
    <t xml:space="preserve">3 services bolt-ons 2020-24.</t>
  </si>
  <si>
    <t xml:space="preserve">Commercial builder pushing into interiors; Atlas is a clean vertical entry. No direct relationship, but a strong two-hop via an ex-client.</t>
  </si>
  <si>
    <t xml:space="preserve">Ask Obi to bridge a soft intro to Hayes. Frame as a fit, not a pitch.</t>
  </si>
  <si>
    <t xml:space="preserve">Obi intro made, awaiting reply.</t>
  </si>
  <si>
    <t xml:space="preserve">Open intro-pass email to Marcus Obi</t>
  </si>
  <si>
    <t xml:space="preserve">Adviser (via Obi bridge)</t>
  </si>
  <si>
    <t xml:space="preserve">Adviser → ask Obi</t>
  </si>
  <si>
    <t xml:space="preserve">Gerard Holt</t>
  </si>
  <si>
    <t xml:space="preserve">Director</t>
  </si>
  <si>
    <t xml:space="preserve">Holt Builders</t>
  </si>
  <si>
    <t xml:space="preserve">QLD commercial construction major</t>
  </si>
  <si>
    <t xml:space="preserve">Large, family-owned balance sheet.</t>
  </si>
  <si>
    <t xml:space="preserve">Mostly organic growth; occasional capability acquisitions.</t>
  </si>
  <si>
    <t xml:space="preserve">QLD major, local synergy, founder already knows the brand. No adviser path, but the founder holds a family relationship.</t>
  </si>
  <si>
    <t xml:space="preserve">Founder-led approach via the family relationship. You support the framing.</t>
  </si>
  <si>
    <t xml:space="preserve">No</t>
  </si>
  <si>
    <t xml:space="preserve">Ask the founder to introduce (your own channel)</t>
  </si>
  <si>
    <t xml:space="preserve">Founder / Client</t>
  </si>
  <si>
    <t xml:space="preserve">Mitchell Ware</t>
  </si>
  <si>
    <t xml:space="preserve">Nexa Capital</t>
  </si>
  <si>
    <t xml:space="preserve">Mid-market buyout, trades / services</t>
  </si>
  <si>
    <t xml:space="preserve">$40-180m equity.</t>
  </si>
  <si>
    <t xml:space="preserve">Owned a trades platform, full exit.</t>
  </si>
  <si>
    <t xml:space="preserve">Has owned a trades platform before, with buy-and-build intent. Own path is thin, but a network adviser has a deep, recent relationship.</t>
  </si>
  <si>
    <t xml:space="preserve">Request a network intro (double opt-in) via the Sydney adviser who closed a deal with Nexa in 2022.</t>
  </si>
  <si>
    <t xml:space="preserve">Intro accepted both sides. Also in sourced universe.</t>
  </si>
  <si>
    <t xml:space="preserve">Request this intro via Iceberg</t>
  </si>
  <si>
    <t xml:space="preserve">Iceberg network</t>
  </si>
  <si>
    <t xml:space="preserve">Iceberg</t>
  </si>
  <si>
    <t xml:space="preserve">Sonia Keller</t>
  </si>
  <si>
    <t xml:space="preserve">Managing Director</t>
  </si>
  <si>
    <t xml:space="preserve">Acroter Constructions</t>
  </si>
  <si>
    <t xml:space="preserve">National commercial builder</t>
  </si>
  <si>
    <t xml:space="preserve">Mid-large.</t>
  </si>
  <si>
    <t xml:space="preserve">Linited M&amp;A history.</t>
  </si>
  <si>
    <t xml:space="preserve">National builder with an interiors gap. Senior and addressable directly, with a lighter LinkedIn tie.</t>
  </si>
  <si>
    <t xml:space="preserve">Direct email + LinkedIn reconnect.</t>
  </si>
  <si>
    <t xml:space="preserve">Pria Naidu</t>
  </si>
  <si>
    <t xml:space="preserve">Investment Director</t>
  </si>
  <si>
    <t xml:space="preserve">Adamere Capital</t>
  </si>
  <si>
    <t xml:space="preserve">Mid-market buyout, services thesis</t>
  </si>
  <si>
    <t xml:space="preserve">$30-150m equity.</t>
  </si>
  <si>
    <t xml:space="preserve">Several services platforms; active buy-and-build.</t>
  </si>
  <si>
    <t xml:space="preserve">Explicit services thesis and capacity to do Atlas as a platform. Net-new, no relationship yet.</t>
  </si>
  <si>
    <t xml:space="preserve">Cold direct email. Lead with the services platform thesis.</t>
  </si>
  <si>
    <t xml:space="preserve">None</t>
  </si>
  <si>
    <t xml:space="preserve">Anya Kovac</t>
  </si>
  <si>
    <t xml:space="preserve">AU Principal</t>
  </si>
  <si>
    <t xml:space="preserve">Rivermark Capital</t>
  </si>
  <si>
    <t xml:space="preserve">Global mid-market</t>
  </si>
  <si>
    <t xml:space="preserve">$25-100m equity AU.</t>
  </si>
  <si>
    <t xml:space="preserve">Global services platforms.</t>
  </si>
  <si>
    <t xml:space="preserve">Global mid-market with an AU services mandate. No own path, but a strong network relationship exists.</t>
  </si>
  <si>
    <t xml:space="preserve">Request a network intro (double opt-in) via the Brisbane adviser.</t>
  </si>
  <si>
    <t xml:space="preserve">Hayley Reid</t>
  </si>
  <si>
    <t xml:space="preserve">Head of Interiors</t>
  </si>
  <si>
    <t xml:space="preserve">Foundry Construct</t>
  </si>
  <si>
    <t xml:space="preserve">Commercial construction, interiors arm</t>
  </si>
  <si>
    <t xml:space="preserve">Mid (bolt-on scale).</t>
  </si>
  <si>
    <t xml:space="preserve">Bolt-ons within interiors.</t>
  </si>
  <si>
    <t xml:space="preserve">Interiors arm with bolt-on logic. A network adviser co-advised a deal with Foundry, so a credible soft intro.</t>
  </si>
  <si>
    <t xml:space="preserve">Request a soft network intro (double opt-in) via the Sydney adviser.</t>
  </si>
  <si>
    <t xml:space="preserve">Also in sourced universe.</t>
  </si>
  <si>
    <t xml:space="preserve">Dominic Turner</t>
  </si>
  <si>
    <t xml:space="preserve">Principal</t>
  </si>
  <si>
    <t xml:space="preserve">Turner Family Office</t>
  </si>
  <si>
    <t xml:space="preserve">Family office, construction-adjacent</t>
  </si>
  <si>
    <t xml:space="preserve">Deal-by-deal, patient capital.</t>
  </si>
  <si>
    <t xml:space="preserve">Direct holdings in construction services.</t>
  </si>
  <si>
    <t xml:space="preserve">Patient capital, construction-adjacent. Personal contact, no urgency, useful for a values-led conversation.</t>
  </si>
  <si>
    <t xml:space="preserve">Informal call. Sounding only, no urgency.</t>
  </si>
  <si>
    <t xml:space="preserve">Keen to chat.</t>
  </si>
  <si>
    <t xml:space="preserve">Rachel Lin</t>
  </si>
  <si>
    <t xml:space="preserve">Pembury Capital</t>
  </si>
  <si>
    <t xml:space="preserve">Lower mid-market buyout</t>
  </si>
  <si>
    <t xml:space="preserve">$20-80m equity.</t>
  </si>
  <si>
    <t xml:space="preserve">Trades-adjacent platforms.</t>
  </si>
  <si>
    <t xml:space="preserve">Lower mid-market with trades exposure. Addressable directly, funnel-level conviction.</t>
  </si>
  <si>
    <t xml:space="preserve">Cold direct email.</t>
  </si>
  <si>
    <t xml:space="preserve">Jared Foss</t>
  </si>
  <si>
    <t xml:space="preserve">Investment Manager</t>
  </si>
  <si>
    <t xml:space="preserve">Allegra Partners</t>
  </si>
  <si>
    <t xml:space="preserve">Value / special situations</t>
  </si>
  <si>
    <t xml:space="preserve">Opportunistic, flexible.</t>
  </si>
  <si>
    <t xml:space="preserve">Turnaround-led acquisitions.</t>
  </si>
  <si>
    <t xml:space="preserve">Value buyer, would price hard. Keep in the process for competitive tension.</t>
  </si>
  <si>
    <t xml:space="preserve">Cold direct email. Keep for tension.</t>
  </si>
  <si>
    <t xml:space="preserve">Logan Doan</t>
  </si>
  <si>
    <t xml:space="preserve">Fifth Peak Capital</t>
  </si>
  <si>
    <t xml:space="preserve">Growth equity</t>
  </si>
  <si>
    <t xml:space="preserve">$20-100m.</t>
  </si>
  <si>
    <t xml:space="preserve">Growth-stage services.</t>
  </si>
  <si>
    <t xml:space="preserve">Growth focus, would need the platform thesis sold hard. Funnel.</t>
  </si>
  <si>
    <t xml:space="preserve">Cold direct email. Funnel.</t>
  </si>
  <si>
    <t xml:space="preserve">Owen Granger</t>
  </si>
  <si>
    <t xml:space="preserve">Corporate Development Lead</t>
  </si>
  <si>
    <t xml:space="preserve">Ironside Group</t>
  </si>
  <si>
    <t xml:space="preserve">International fit-out major</t>
  </si>
  <si>
    <t xml:space="preserve">Large, but AU appetite unproven.</t>
  </si>
  <si>
    <t xml:space="preserve">Global, mostly UK / EU acquisitions.</t>
  </si>
  <si>
    <t xml:space="preserve">International fit-out major eyeing AU. Network path too thin to add real warmth right now.</t>
  </si>
  <si>
    <t xml:space="preserve">Hold. Do not action until the Wave 2 read-through. Then direct or park.</t>
  </si>
  <si>
    <t xml:space="preserve">On hold.</t>
  </si>
  <si>
    <t xml:space="preserve">On hold, no action yet</t>
  </si>
  <si>
    <t xml:space="preserve">Hold</t>
  </si>
  <si>
    <t xml:space="preserve">CONTACT CARDS   ·   SAMPLE (illustrative data)</t>
  </si>
  <si>
    <t xml:space="preserve">The complete view per contact. Read the card before you act. One per contact, in execution order.</t>
  </si>
  <si>
    <t xml:space="preserve">C01  ·  Daniel Rivers  ·  GM Corporate Development, Meridian Fitout Group</t>
  </si>
  <si>
    <t xml:space="preserve">Strategic · Commercial fit-out / interiors · Sydney AU · Match 94 · Warmth hot · Path Own · P1 · Source Your DB</t>
  </si>
  <si>
    <t xml:space="preserve">Check size / capacity</t>
  </si>
  <si>
    <t xml:space="preserve">Warm path</t>
  </si>
  <si>
    <t xml:space="preserve">Direct. You -&gt; Rivers (ex-colleague, 6 yrs).</t>
  </si>
  <si>
    <t xml:space="preserve">Path signals</t>
  </si>
  <si>
    <t xml:space="preserve">47 emails / 12 LI (24mo) · last 6 wks ago · deal subjects: Yes · sentiment Positive · prior deal: 2019 sell-side · strength Strong</t>
  </si>
  <si>
    <t xml:space="preserve">Adviser · Ex-colleague, 6 years</t>
  </si>
  <si>
    <t xml:space="preserve">Action owner</t>
  </si>
  <si>
    <t xml:space="preserve">Adviser, call directly</t>
  </si>
  <si>
    <t xml:space="preserve">Email</t>
  </si>
  <si>
    <t xml:space="preserve">daniel.rivers@meridianfitout.com.au</t>
  </si>
  <si>
    <t xml:space="preserve">Phone / LinkedIn</t>
  </si>
  <si>
    <t xml:space="preserve">Mobile +61 491 570 156</t>
  </si>
  <si>
    <t xml:space="preserve">Ready to send</t>
  </si>
  <si>
    <t xml:space="preserve">On LinkedIn</t>
  </si>
  <si>
    <t xml:space="preserve">Open profile</t>
  </si>
  <si>
    <t xml:space="preserve">LinkedIn draft</t>
  </si>
  <si>
    <t xml:space="preserve">Hi David, I'm running a confidential mandate that may fit Meridian Fitout Group. Could we connect for 15 minutes? Happy to share more under NDA.</t>
  </si>
  <si>
    <t xml:space="preserve">Status</t>
  </si>
  <si>
    <t xml:space="preserve">C03  ·  Tobias Elding  ·  Partner, Quadrey Private Equity</t>
  </si>
  <si>
    <t xml:space="preserve">PE · Mid-market buyout, services roll-ups · Sydney AU · Match 88 · Warmth hot · Path Own · P1 · Source Your DB</t>
  </si>
  <si>
    <t xml:space="preserve">Direct. You -&gt; Elding (prior counterparty, 2021 process).</t>
  </si>
  <si>
    <t xml:space="preserve">18 emails (1 deal) · last 9 mo ago · deal subjects: Yes · sentiment Neutral-positive · prior deal: 2021 opposite side · strength Strong</t>
  </si>
  <si>
    <t xml:space="preserve">Adviser · Prior counterparty, 2021 process</t>
  </si>
  <si>
    <t xml:space="preserve">Adviser, reconnect directly, reference prior deal</t>
  </si>
  <si>
    <t xml:space="preserve">t.elding@quadrey.com.au</t>
  </si>
  <si>
    <t xml:space="preserve">Mobile +61 491 570 158</t>
  </si>
  <si>
    <t xml:space="preserve">Stage: Replied   ·   Done: Yes   ·   Notes: Interested, wants the teaser.</t>
  </si>
  <si>
    <t xml:space="preserve">C02  ·  Martin Hayes  ·  Head of M&amp;A, Kingsford Construct</t>
  </si>
  <si>
    <t xml:space="preserve">Strategic · Commercial construction moving into interiors · Sydney AU · Match 90 · Warmth warm · Path Own · P1 · Source Your DB</t>
  </si>
  <si>
    <t xml:space="preserve">You -&gt; Marcus Obi (ex-client CEO) -&gt; Kingsford MD -&gt; Hayes.</t>
  </si>
  <si>
    <t xml:space="preserve">via connector · last 3 mo ago · deal subjects: not captured · sentiment Warm · prior deal: none · strength Medium</t>
  </si>
  <si>
    <t xml:space="preserve">Adviser (via Marcus Obi, ex-client CEO, bridge to Hayes)</t>
  </si>
  <si>
    <t xml:space="preserve">Adviser → ask Obi to bridge · Obi executes the intro</t>
  </si>
  <si>
    <t xml:space="preserve">m.hayes@kingsfordconstruct.com.au</t>
  </si>
  <si>
    <t xml:space="preserve">Intro-pass (email)</t>
  </si>
  <si>
    <t xml:space="preserve">Intro-pass (LinkedIn)</t>
  </si>
  <si>
    <t xml:space="preserve">Open Marcus Obi profile</t>
  </si>
  <si>
    <t xml:space="preserve">Hi Mark, could you make a soft intro to Martin Hayes at Kingsford Construct? Running a confidential mandate that fits them. Happy to send a blurb you can forward.</t>
  </si>
  <si>
    <t xml:space="preserve">Stage: Outreach sent   ·   Done: Yes   ·   Notes: Obi intro made, awaiting reply.</t>
  </si>
  <si>
    <t xml:space="preserve">C04  ·  Gerard Holt  ·  Director, Holt Builders</t>
  </si>
  <si>
    <t xml:space="preserve">Strategic · QLD commercial construction major · Brisbane AU · Match 84 · Warmth warm · Path Own · P2 · Source Your DB</t>
  </si>
  <si>
    <t xml:space="preserve">You -&gt; founder -&gt; Holt family -&gt; Gerard Holt.</t>
  </si>
  <si>
    <t xml:space="preserve">not captured · last not captured · deal subjects: not captured · sentiment not captured · prior deal: none · strength Medium</t>
  </si>
  <si>
    <t xml:space="preserve">Founder / Client · founder holds family relationship with Holts</t>
  </si>
  <si>
    <t xml:space="preserve">gerard.holt@holtbuilders.com.au</t>
  </si>
  <si>
    <t xml:space="preserve">Mobile +61 491 570 159</t>
  </si>
  <si>
    <t xml:space="preserve">Hi the, could you make a soft intro to Gerard Holt at Holt Builders? Running a confidential mandate that fits them. Happy to send a blurb you can forward.</t>
  </si>
  <si>
    <t xml:space="preserve">Stage: Lead   ·   Done: No   ·   Notes: -</t>
  </si>
  <si>
    <t xml:space="preserve">C06  ·  Mitchell Ware  ·  Partner, Nexa Capital</t>
  </si>
  <si>
    <t xml:space="preserve">PE · Mid-market buyout, trades / services · Sydney AU · Match 81 · Warmth cold · Path Network · P2 · Source Your DB</t>
  </si>
  <si>
    <t xml:space="preserve">Iceberg network · Sydney adviser (closed deal with Nexa, 2022)</t>
  </si>
  <si>
    <t xml:space="preserve">Iceberg, double opt-in intro</t>
  </si>
  <si>
    <t xml:space="preserve">m.ware@nexacapital.com.au</t>
  </si>
  <si>
    <t xml:space="preserve">Mobile +61 491 570 161</t>
  </si>
  <si>
    <t xml:space="preserve">Request intro</t>
  </si>
  <si>
    <t xml:space="preserve">Stage: Outreach sent   ·   Done: Yes   ·   Notes: Intro accepted both sides. Also in sourced universe.</t>
  </si>
  <si>
    <t xml:space="preserve">C07  ·  Sonia Keller  ·  Managing Director, Acroter Constructions</t>
  </si>
  <si>
    <t xml:space="preserve">Strategic · National commercial builder · Brisbane AU · Match 78 · Warmth warm · Path Own · P2 · Source Your DB</t>
  </si>
  <si>
    <t xml:space="preserve">Adviser · LinkedIn 1st degree, light history</t>
  </si>
  <si>
    <t xml:space="preserve">Adviser, direct email + LinkedIn reconnect</t>
  </si>
  <si>
    <t xml:space="preserve">s.keller@acroter.com.au</t>
  </si>
  <si>
    <t xml:space="preserve">Mobile +61 491 570 162</t>
  </si>
  <si>
    <t xml:space="preserve">Hi Sandra, I'm running a confidential mandate that may fit Acroter Constructions. Could we connect for 15 minutes? Happy to share more under NDA.</t>
  </si>
  <si>
    <t xml:space="preserve">C05  ·  Pria Naidu  ·  Investment Director, Adamere Capital</t>
  </si>
  <si>
    <t xml:space="preserve">PE · Mid-market buyout, services thesis · Sydney AU · Match 83 · Warmth cold · Path Direct · P2 · Source Pipeline</t>
  </si>
  <si>
    <t xml:space="preserve">No path. Direct approach.</t>
  </si>
  <si>
    <t xml:space="preserve">not captured · prior deal: none · strength None</t>
  </si>
  <si>
    <t xml:space="preserve">None · Net-new, cold approach</t>
  </si>
  <si>
    <t xml:space="preserve">Adviser, cold outreach, lead with services thesis</t>
  </si>
  <si>
    <t xml:space="preserve">p.naidu@adamere.com.au</t>
  </si>
  <si>
    <t xml:space="preserve">Mobile +61 491 570 160</t>
  </si>
  <si>
    <t xml:space="preserve">Hi Priya, I'm running a confidential mandate that may fit Adamere Capital. Could we connect for 15 minutes? Happy to share more under NDA.</t>
  </si>
  <si>
    <t xml:space="preserve">C09  ·  Anya Kovac  ·  AU Principal, Rivermark Capital</t>
  </si>
  <si>
    <t xml:space="preserve">PE · Global mid-market · Melbourne AU · Match 77 · Warmth cold · Path Network · P3 · Source Your DB</t>
  </si>
  <si>
    <t xml:space="preserve">Network adviser (Brisbane, quarterly contact) -&gt; Kovac.</t>
  </si>
  <si>
    <t xml:space="preserve">network: medium-high, quarterly contact · strength Medium (network)</t>
  </si>
  <si>
    <t xml:space="preserve">Iceberg network · Brisbane adviser (quarterly contact)</t>
  </si>
  <si>
    <t xml:space="preserve">a.kovac@rivermark.com</t>
  </si>
  <si>
    <t xml:space="preserve">Mobile +61 491 570 164</t>
  </si>
  <si>
    <t xml:space="preserve">Direct +61 3 5550 0109</t>
  </si>
  <si>
    <t xml:space="preserve">LinkedIn</t>
  </si>
  <si>
    <t xml:space="preserve">C13  ·  Hayley Reid  ·  Head of Interiors, Foundry Construct</t>
  </si>
  <si>
    <t xml:space="preserve">Strategic · Commercial construction, interiors arm · Sydney AU · Match 64 · Warmth cold · Path Network · P3 · Source Pipeline</t>
  </si>
  <si>
    <t xml:space="preserve">Network adviser (Sydney, prior co-advised deal) -&gt; Reid.</t>
  </si>
  <si>
    <t xml:space="preserve">network: medium, solid rapport · strength Medium (network)</t>
  </si>
  <si>
    <t xml:space="preserve">Iceberg network · Sydney adviser (prior co-advised deal with Foundry)</t>
  </si>
  <si>
    <t xml:space="preserve">Iceberg, soft double opt-in intro request</t>
  </si>
  <si>
    <t xml:space="preserve">h.reid@foundryconstruct.com.au</t>
  </si>
  <si>
    <t xml:space="preserve">Mobile +61 491 570 167</t>
  </si>
  <si>
    <t xml:space="preserve">Direct +61 2 5550 0112</t>
  </si>
  <si>
    <t xml:space="preserve">C12  ·  Dominic Turner  ·  Principal, Turner Family Office</t>
  </si>
  <si>
    <t xml:space="preserve">Family Office · Family office, construction-adjacent · Perth AU · Match 66 · Warmth warm · Path Own · P3 · Source Seed</t>
  </si>
  <si>
    <t xml:space="preserve">Direct. You -&gt; Turner (personal / social contact).</t>
  </si>
  <si>
    <t xml:space="preserve">personal / non-deal · last 2 mo ago · sentiment Positive · prior deal: none · strength Medium</t>
  </si>
  <si>
    <t xml:space="preserve">Adviser · Personal / social contact</t>
  </si>
  <si>
    <t xml:space="preserve">Adviser, informal call only</t>
  </si>
  <si>
    <t xml:space="preserve">dominic@turnerfo.com.au</t>
  </si>
  <si>
    <t xml:space="preserve">Mobile +61 491 570 166</t>
  </si>
  <si>
    <t xml:space="preserve">Direct +61 8 5550 0111</t>
  </si>
  <si>
    <t xml:space="preserve">Hi Daniel, I'm running a confidential mandate that may fit Turner Family Office. Could we connect for 15 minutes? Happy to share more under NDA.</t>
  </si>
  <si>
    <t xml:space="preserve">Stage: Replied   ·   Done: Yes   ·   Notes: Keen to chat.</t>
  </si>
  <si>
    <t xml:space="preserve">C11  ·  Rachel Lin  ·  Director, Pembury Capital</t>
  </si>
  <si>
    <t xml:space="preserve">PE · Lower mid-market buyout · Sydney AU · Match 70 · Warmth cold · Path Direct · P3 · Source Your DB</t>
  </si>
  <si>
    <t xml:space="preserve">Adviser, cold outreach</t>
  </si>
  <si>
    <t xml:space="preserve">Hi Rebecca, I'm running a confidential mandate that may fit Pembury Capital. Could we connect for 15 minutes? Happy to share more under NDA.</t>
  </si>
  <si>
    <t xml:space="preserve">C08  ·  Jared Foss  ·  Investment Manager, Allegra Partners</t>
  </si>
  <si>
    <t xml:space="preserve">PE · Value / special situations · Sydney AU · Match 74 · Warmth cold · Path Direct · P3 · Source Pipeline</t>
  </si>
  <si>
    <t xml:space="preserve">j.foss@allegrapartners.com.au</t>
  </si>
  <si>
    <t xml:space="preserve">Mobile +61 491 570 163</t>
  </si>
  <si>
    <t xml:space="preserve">Hi James, I'm running a confidential mandate that may fit Allegra Partners. Could we connect for 15 minutes? Happy to share more under NDA.</t>
  </si>
  <si>
    <t xml:space="preserve">C14  ·  Logan Doan  ·  Investment Director, Fifth Peak Capital</t>
  </si>
  <si>
    <t xml:space="preserve">PE · Growth equity · Sydney AU · Match 60 · Warmth cold · Path Direct · P3 · Source Pipeline</t>
  </si>
  <si>
    <t xml:space="preserve">l.doan@fifthpeak.com</t>
  </si>
  <si>
    <t xml:space="preserve">Mobile +61 491 570 168</t>
  </si>
  <si>
    <t xml:space="preserve">Direct +61 2 5550 0113</t>
  </si>
  <si>
    <t xml:space="preserve">Hi Liam, I'm running a confidential mandate that may fit Fifth Peak Capital. Could we connect for 15 minutes? Happy to share more under NDA.</t>
  </si>
  <si>
    <t xml:space="preserve">C10  ·  Owen Granger  ·  Corporate Development Lead, Ironside Group</t>
  </si>
  <si>
    <t xml:space="preserve">Strategic · International fit-out major · London UK · Match 72 · Warmth cold · Path Network · P3 · Source Pipeline</t>
  </si>
  <si>
    <t xml:space="preserve">Network adviser (Melbourne, emailed only) -&gt; Grant. Too thin.</t>
  </si>
  <si>
    <t xml:space="preserve">network: low, 3 emails, 11 mo old · strength None</t>
  </si>
  <si>
    <t xml:space="preserve">Iceberg network · Melbourne adviser (emailed only, too thin)</t>
  </si>
  <si>
    <t xml:space="preserve">Hold, do not action until Wave 2 read-through</t>
  </si>
  <si>
    <t xml:space="preserve">owen.granger@ironsidegroup.co.uk</t>
  </si>
  <si>
    <t xml:space="preserve">Mobile +44 7700 900156</t>
  </si>
  <si>
    <t xml:space="preserve">Direct +44 20 7946 0158</t>
  </si>
  <si>
    <t xml:space="preserve">Action</t>
  </si>
  <si>
    <t xml:space="preserve">Stage: Lead   ·   Done: No   ·   Notes: On hold.</t>
  </si>
  <si>
    <t xml:space="preserve">PROJECT ATLAS  ·  Warm Intro Candidates   ·   SAMPLE (illustrative data)</t>
  </si>
  <si>
    <t xml:space="preserve">Mapped by Iceberg across [Adviser]'s personal network, LinkedIn, HubSpot and prior deals. Mark Proceed and add notes.</t>
  </si>
  <si>
    <t xml:space="preserve">Category</t>
  </si>
  <si>
    <t xml:space="preserve">Warmth</t>
  </si>
  <si>
    <t xml:space="preserve">Relevance to Atlas</t>
  </si>
  <si>
    <t xml:space="preserve">Connection path</t>
  </si>
  <si>
    <t xml:space="preserve">Proceed?</t>
  </si>
  <si>
    <t xml:space="preserve">STRATEGIC</t>
  </si>
  <si>
    <t xml:space="preserve">Strategic</t>
  </si>
  <si>
    <t xml:space="preserve">Direct</t>
  </si>
  <si>
    <t xml:space="preserve">Most strategic acquirer in the universe. Pure-play fit-out, Atlas adds QLD scale + refurb.</t>
  </si>
  <si>
    <t xml:space="preserve">Direct. Ex-colleague of 6 yrs, you have his number.</t>
  </si>
  <si>
    <t xml:space="preserve">Y</t>
  </si>
  <si>
    <t xml:space="preserve">Via existing</t>
  </si>
  <si>
    <t xml:space="preserve">QLD major. Founder knows the brand, local synergy.</t>
  </si>
  <si>
    <t xml:space="preserve">Best via the founder's own relationship with the family. You can frame.</t>
  </si>
  <si>
    <t xml:space="preserve">Founder-led.</t>
  </si>
  <si>
    <t xml:space="preserve">Via bridge</t>
  </si>
  <si>
    <t xml:space="preserve">Commercial builder pushing into interiors. Clear vertical fit.</t>
  </si>
  <si>
    <t xml:space="preserve">Via Marcus Obi (ex-client CEO) -&gt; Kingsford MD -&gt; Hayes.</t>
  </si>
  <si>
    <t xml:space="preserve">M</t>
  </si>
  <si>
    <t xml:space="preserve">Confirm Obi will bridge.</t>
  </si>
  <si>
    <t xml:space="preserve">Warm</t>
  </si>
  <si>
    <t xml:space="preserve">National builder with an interiors gap.</t>
  </si>
  <si>
    <t xml:space="preserve">LinkedIn 1st degree, light history. Reconnect first.</t>
  </si>
  <si>
    <t xml:space="preserve">Interiors arm, bolt-on logic.</t>
  </si>
  <si>
    <t xml:space="preserve">Via Iceberg network adviser (Sydney), prior co-advised deal -&gt; Reid (Head of Interiors).</t>
  </si>
  <si>
    <t xml:space="preserve">PRIVATE EQUITY</t>
  </si>
  <si>
    <t xml:space="preserve">Private Equity</t>
  </si>
  <si>
    <t xml:space="preserve">Almost hot</t>
  </si>
  <si>
    <t xml:space="preserve">Prior counterparty. Would see Atlas as a platform.</t>
  </si>
  <si>
    <t xml:space="preserve">Direct. Opposite side of the 2021 process. Reconnect.</t>
  </si>
  <si>
    <t xml:space="preserve">Owned a trades platform before. Buy-and-build intent.</t>
  </si>
  <si>
    <t xml:space="preserve">Via Iceberg network adviser (Sydney) who closed a deal with Nexa in 2022 -&gt; Ware.</t>
  </si>
  <si>
    <t xml:space="preserve">Global mid-market, AU services mandate.</t>
  </si>
  <si>
    <t xml:space="preserve">Via Iceberg network adviser (Brisbane), quarterly contact -&gt; Kovac (AU Principal).</t>
  </si>
  <si>
    <t xml:space="preserve">Mid-market buyout, services thesis.</t>
  </si>
  <si>
    <t xml:space="preserve">Net-new. No warm path yet, approaching direct.</t>
  </si>
  <si>
    <t xml:space="preserve">N</t>
  </si>
  <si>
    <t xml:space="preserve">Covered direct.</t>
  </si>
  <si>
    <t xml:space="preserve">FAMILY OFFICE</t>
  </si>
  <si>
    <t xml:space="preserve">Family Office</t>
  </si>
  <si>
    <t xml:space="preserve">Patient capital, construction-adjacent holdings.</t>
  </si>
  <si>
    <t xml:space="preserve">Direct. Personal / social contact.</t>
  </si>
  <si>
    <t xml:space="preserve">Informal sounding only.</t>
  </si>
  <si>
    <t xml:space="preserve">Proceed key:  Y = yes, make the intro.   N = no, already covered.   M = maybe, let's discuss.   Connection path shows every hop. Via bridge = reachable through a named intermediary. Via existing = through your own commercial relationship.</t>
  </si>
  <si>
    <t xml:space="preserve">TARGET UNIVERSE  ·  one row per contact. Match score + reason from the sourcing pipeline. Contact details are clickable: email, phone, LinkedIn.   ·   SAMPLE (illustrative data)</t>
  </si>
  <si>
    <t xml:space="preserve">ID</t>
  </si>
  <si>
    <t xml:space="preserve">Organisation</t>
  </si>
  <si>
    <t xml:space="preserve">Type</t>
  </si>
  <si>
    <t xml:space="preserve">Geography</t>
  </si>
  <si>
    <t xml:space="preserve">Match reason</t>
  </si>
  <si>
    <t xml:space="preserve">Email status</t>
  </si>
  <si>
    <t xml:space="preserve">Source</t>
  </si>
  <si>
    <t xml:space="preserve">Path</t>
  </si>
  <si>
    <t xml:space="preserve">Priority</t>
  </si>
  <si>
    <t xml:space="preserve">Mobile</t>
  </si>
  <si>
    <t xml:space="preserve">C01</t>
  </si>
  <si>
    <t xml:space="preserve">Sydney AU</t>
  </si>
  <si>
    <t xml:space="preserve">Runs corp dev at the leading pure-play fit-out consolidator. Atlas adds QLD scale + refurb.</t>
  </si>
  <si>
    <t xml:space="preserve">valid</t>
  </si>
  <si>
    <t xml:space="preserve">Your DB</t>
  </si>
  <si>
    <t xml:space="preserve">Own</t>
  </si>
  <si>
    <t xml:space="preserve">P1</t>
  </si>
  <si>
    <t xml:space="preserve">Ex-colleague. Call first.</t>
  </si>
  <si>
    <t xml:space="preserve">+61 491 570 156</t>
  </si>
  <si>
    <t xml:space="preserve">+61 2 5550 0101</t>
  </si>
  <si>
    <t xml:space="preserve">C02</t>
  </si>
  <si>
    <t xml:space="preserve">Leads M&amp;A at a commercial builder pushing into interiors. Active acquirer.</t>
  </si>
  <si>
    <t xml:space="preserve">Maybe</t>
  </si>
  <si>
    <t xml:space="preserve">Bridge via ex-client.</t>
  </si>
  <si>
    <t xml:space="preserve">+61 491 570 157</t>
  </si>
  <si>
    <t xml:space="preserve">+61 2 5550 0102</t>
  </si>
  <si>
    <t xml:space="preserve">C03</t>
  </si>
  <si>
    <t xml:space="preserve">PE</t>
  </si>
  <si>
    <t xml:space="preserve">Partner active in AU services roll-ups. Prior counterparty.</t>
  </si>
  <si>
    <t xml:space="preserve">Reconnect, prior deal.</t>
  </si>
  <si>
    <t xml:space="preserve">+61 491 570 158</t>
  </si>
  <si>
    <t xml:space="preserve">+61 2 5550 0103</t>
  </si>
  <si>
    <t xml:space="preserve">C04</t>
  </si>
  <si>
    <t xml:space="preserve">Brisbane AU</t>
  </si>
  <si>
    <t xml:space="preserve">Director at QLD major. Founder knows the brand.</t>
  </si>
  <si>
    <t xml:space="preserve">P2</t>
  </si>
  <si>
    <t xml:space="preserve">Founder-led approach.</t>
  </si>
  <si>
    <t xml:space="preserve">+61 491 570 159</t>
  </si>
  <si>
    <t xml:space="preserve">+61 7 5550 0104</t>
  </si>
  <si>
    <t xml:space="preserve">C05</t>
  </si>
  <si>
    <t xml:space="preserve">Mid-market buyout, services thesis. Net-new.</t>
  </si>
  <si>
    <t xml:space="preserve">Pipeline</t>
  </si>
  <si>
    <t xml:space="preserve">Covered, direct.</t>
  </si>
  <si>
    <t xml:space="preserve">+61 491 570 160</t>
  </si>
  <si>
    <t xml:space="preserve">+61 2 5550 0105</t>
  </si>
  <si>
    <t xml:space="preserve">C06</t>
  </si>
  <si>
    <t xml:space="preserve">Owned a trades platform before, buy-and-build intent.</t>
  </si>
  <si>
    <t xml:space="preserve">Network</t>
  </si>
  <si>
    <t xml:space="preserve">Network intro.</t>
  </si>
  <si>
    <t xml:space="preserve">+61 491 570 161</t>
  </si>
  <si>
    <t xml:space="preserve">+61 2 5550 0106</t>
  </si>
  <si>
    <t xml:space="preserve">C07</t>
  </si>
  <si>
    <t xml:space="preserve">probable</t>
  </si>
  <si>
    <t xml:space="preserve">+61 491 570 162</t>
  </si>
  <si>
    <t xml:space="preserve">+61 7 5550 0107</t>
  </si>
  <si>
    <t xml:space="preserve">C08</t>
  </si>
  <si>
    <t xml:space="preserve">Value / special situations. Keep as tension.</t>
  </si>
  <si>
    <t xml:space="preserve">P3</t>
  </si>
  <si>
    <t xml:space="preserve">+61 491 570 163</t>
  </si>
  <si>
    <t xml:space="preserve">+61 2 5550 0108</t>
  </si>
  <si>
    <t xml:space="preserve">C09</t>
  </si>
  <si>
    <t xml:space="preserve">Melbourne AU</t>
  </si>
  <si>
    <t xml:space="preserve">Network intro worth it.</t>
  </si>
  <si>
    <t xml:space="preserve">+61 491 570 164</t>
  </si>
  <si>
    <t xml:space="preserve">+61 3 5550 0109</t>
  </si>
  <si>
    <t xml:space="preserve">C10</t>
  </si>
  <si>
    <t xml:space="preserve">London UK</t>
  </si>
  <si>
    <t xml:space="preserve">Intl fit-out major eyeing AU. Path too thin.</t>
  </si>
  <si>
    <t xml:space="preserve">Park unless Wave 2 stalls.</t>
  </si>
  <si>
    <t xml:space="preserve">+44 7700 900156</t>
  </si>
  <si>
    <t xml:space="preserve">+44 20 7946 0158</t>
  </si>
  <si>
    <t xml:space="preserve">C11</t>
  </si>
  <si>
    <t xml:space="preserve">Lower mid-market with trades exposure.</t>
  </si>
  <si>
    <t xml:space="preserve">r.lin@pembury.com.au</t>
  </si>
  <si>
    <t xml:space="preserve">+61 491 570 165</t>
  </si>
  <si>
    <t xml:space="preserve">+61 2 5550 0110</t>
  </si>
  <si>
    <t xml:space="preserve">C12</t>
  </si>
  <si>
    <t xml:space="preserve">Perth AU</t>
  </si>
  <si>
    <t xml:space="preserve">Patient capital, construction-adjacent.</t>
  </si>
  <si>
    <t xml:space="preserve">Seed</t>
  </si>
  <si>
    <t xml:space="preserve">Informal only.</t>
  </si>
  <si>
    <t xml:space="preserve">+61 491 570 166</t>
  </si>
  <si>
    <t xml:space="preserve">+61 8 5550 0111</t>
  </si>
  <si>
    <t xml:space="preserve">C13</t>
  </si>
  <si>
    <t xml:space="preserve">unknown</t>
  </si>
  <si>
    <t xml:space="preserve">Soft network intro.</t>
  </si>
  <si>
    <t xml:space="preserve">+61 491 570 167</t>
  </si>
  <si>
    <t xml:space="preserve">+61 2 5550 0112</t>
  </si>
  <si>
    <t xml:space="preserve">C14</t>
  </si>
  <si>
    <t xml:space="preserve">Growth focus, needs the platform thesis. Funnel.</t>
  </si>
  <si>
    <t xml:space="preserve">+61 491 570 168</t>
  </si>
  <si>
    <t xml:space="preserve">+61 2 5550 0113</t>
  </si>
  <si>
    <t xml:space="preserve">WARM PATHS  ·  own network. Full connection chain plus the signals behind it. Uncaptured signals read 'not captured', never invented.   ·   SAMPLE (illustrative data)</t>
  </si>
  <si>
    <t xml:space="preserve">Connection path (every hop)</t>
  </si>
  <si>
    <t xml:space="preserve">Hops</t>
  </si>
  <si>
    <t xml:space="preserve">Message volume</t>
  </si>
  <si>
    <t xml:space="preserve">Last contact</t>
  </si>
  <si>
    <t xml:space="preserve">Deal subjects detected</t>
  </si>
  <si>
    <t xml:space="preserve">Sentiment</t>
  </si>
  <si>
    <t xml:space="preserve">Prior deal</t>
  </si>
  <si>
    <t xml:space="preserve">Strength</t>
  </si>
  <si>
    <t xml:space="preserve">Recommended ask</t>
  </si>
  <si>
    <t xml:space="preserve">Daniel Rivers (Meridian)</t>
  </si>
  <si>
    <t xml:space="preserve">47 emails / 12 LI (24mo)</t>
  </si>
  <si>
    <t xml:space="preserve">6 wks ago</t>
  </si>
  <si>
    <t xml:space="preserve">Positive</t>
  </si>
  <si>
    <t xml:space="preserve">Yes - 2019 sell-side</t>
  </si>
  <si>
    <t xml:space="preserve">hot</t>
  </si>
  <si>
    <t xml:space="preserve">Strong</t>
  </si>
  <si>
    <t xml:space="preserve">Direct call. 15 min on a confidential opportunity.</t>
  </si>
  <si>
    <t xml:space="preserve">Tobias Elding (Quadrey)</t>
  </si>
  <si>
    <t xml:space="preserve">Direct. You -&gt; Elding (prior counterparty 2021).</t>
  </si>
  <si>
    <t xml:space="preserve">18 emails (1 deal)</t>
  </si>
  <si>
    <t xml:space="preserve">9 mo ago</t>
  </si>
  <si>
    <t xml:space="preserve">Neutral-positive</t>
  </si>
  <si>
    <t xml:space="preserve">Yes - 2021 opposite side</t>
  </si>
  <si>
    <t xml:space="preserve">Reconnect direct. Reference prior process.</t>
  </si>
  <si>
    <t xml:space="preserve">Martin Hayes (Kingsford)</t>
  </si>
  <si>
    <t xml:space="preserve">via connector</t>
  </si>
  <si>
    <t xml:space="preserve">3 mo ago</t>
  </si>
  <si>
    <t xml:space="preserve">Not captured</t>
  </si>
  <si>
    <t xml:space="preserve">warm</t>
  </si>
  <si>
    <t xml:space="preserve">Medium</t>
  </si>
  <si>
    <t xml:space="preserve">Ask Obi for a soft intro to Hayes.</t>
  </si>
  <si>
    <t xml:space="preserve">Dominic Turner (Turner FO)</t>
  </si>
  <si>
    <t xml:space="preserve">Direct. You -&gt; Turner (personal contact).</t>
  </si>
  <si>
    <t xml:space="preserve">Personal / non-deal</t>
  </si>
  <si>
    <t xml:space="preserve">2 mo ago</t>
  </si>
  <si>
    <t xml:space="preserve">Informal sounding only. No urgency.</t>
  </si>
  <si>
    <t xml:space="preserve">Gerard Holt (Holt)</t>
  </si>
  <si>
    <t xml:space="preserve">not captured</t>
  </si>
  <si>
    <t xml:space="preserve">Founder-led. Frame via the family relationship.</t>
  </si>
  <si>
    <t xml:space="preserve">Mitchell Ware (Nexa)</t>
  </si>
  <si>
    <t xml:space="preserve">Network adviser (Syd) -&gt; Ware. See Network Intros.</t>
  </si>
  <si>
    <t xml:space="preserve">cold</t>
  </si>
  <si>
    <t xml:space="preserve">Light</t>
  </si>
  <si>
    <t xml:space="preserve">Prefer the network intro, stronger than own path.</t>
  </si>
  <si>
    <t xml:space="preserve">NETWORK INTROS (optional)  ·  wider Iceberg network. Only intros worth asking for. Anonymised adviser, double opt-in.   ·   SAMPLE (illustrative data)</t>
  </si>
  <si>
    <t xml:space="preserve">Held by (network)</t>
  </si>
  <si>
    <t xml:space="preserve">Relationship depth</t>
  </si>
  <si>
    <t xml:space="preserve">Signal</t>
  </si>
  <si>
    <t xml:space="preserve">Worth requesting?</t>
  </si>
  <si>
    <t xml:space="preserve">Intro ask</t>
  </si>
  <si>
    <t xml:space="preserve">Mechanism</t>
  </si>
  <si>
    <t xml:space="preserve">Mitchell Ware (Nexa Capital)</t>
  </si>
  <si>
    <t xml:space="preserve">Network adviser - Sydney (ex-IB)</t>
  </si>
  <si>
    <t xml:space="preserve">Done a deal together (2022)</t>
  </si>
  <si>
    <t xml:space="preserve">High. 60+ emails, recent</t>
  </si>
  <si>
    <t xml:space="preserve">YES</t>
  </si>
  <si>
    <t xml:space="preserve">Warm intro to Ware, who ran their last platform deal</t>
  </si>
  <si>
    <t xml:space="preserve">Double opt-in</t>
  </si>
  <si>
    <t xml:space="preserve">Strongest route to Nexa. Prioritise over own thin path.</t>
  </si>
  <si>
    <t xml:space="preserve">Anya Kovac (Rivermark)</t>
  </si>
  <si>
    <t xml:space="preserve">Network adviser - Brisbane</t>
  </si>
  <si>
    <t xml:space="preserve">Regular calls, ongoing</t>
  </si>
  <si>
    <t xml:space="preserve">Medium-high. Quarterly contact</t>
  </si>
  <si>
    <t xml:space="preserve">Intro flagging the QLD services platform</t>
  </si>
  <si>
    <t xml:space="preserve">Good global option for Wave 3.</t>
  </si>
  <si>
    <t xml:space="preserve">Hayley Reid (Foundry)</t>
  </si>
  <si>
    <t xml:space="preserve">Network adviser - Sydney</t>
  </si>
  <si>
    <t xml:space="preserve">Prior co-advised deal</t>
  </si>
  <si>
    <t xml:space="preserve">Medium. Solid rapport</t>
  </si>
  <si>
    <t xml:space="preserve">Soft intro re a bolt-on conversation</t>
  </si>
  <si>
    <t xml:space="preserve">Useful Wave 3 conversation.</t>
  </si>
  <si>
    <t xml:space="preserve">Owen Granger (Ironside)</t>
  </si>
  <si>
    <t xml:space="preserve">Network adviser - Melbourne</t>
  </si>
  <si>
    <t xml:space="preserve">Emailed only, no calls</t>
  </si>
  <si>
    <t xml:space="preserve">Low. 3 emails, 11 mo old</t>
  </si>
  <si>
    <t xml:space="preserve">HOLD</t>
  </si>
  <si>
    <t xml:space="preserve">-</t>
  </si>
  <si>
    <t xml:space="preserve">Too thin to add warmth. Direct or park.</t>
  </si>
  <si>
    <t xml:space="preserve">Pria Naidu (Adamere)</t>
  </si>
  <si>
    <t xml:space="preserve">Met once at conference</t>
  </si>
  <si>
    <t xml:space="preserve">Low. No real history</t>
  </si>
  <si>
    <t xml:space="preserve">Not worth a network ask. Direct is just as warm.</t>
  </si>
  <si>
    <t xml:space="preserve">LEGEND &amp; SCORING   ·   SAMPLE (illustrative data)</t>
  </si>
  <si>
    <t xml:space="preserve">Real pipeline + MVP vocabulary. The rules behind every cell.</t>
  </si>
  <si>
    <t xml:space="preserve">Field</t>
  </si>
  <si>
    <t xml:space="preserve">Definition</t>
  </si>
  <si>
    <t xml:space="preserve">MATCH SCORE</t>
  </si>
  <si>
    <t xml:space="preserve">0-100 from the sourcing pipeline. Role seniority + sector/geo relevance + capacity + deal history. 80+ priority, 70-79 strong, &lt;70 funnel.</t>
  </si>
  <si>
    <t xml:space="preserve">MATCH REASON / RELEVANCE</t>
  </si>
  <si>
    <t xml:space="preserve">Per-contact rationale from the pipeline, tailored to this mandate's thesis.</t>
  </si>
  <si>
    <t xml:space="preserve">SOURCE</t>
  </si>
  <si>
    <t xml:space="preserve">Your DB = already in the adviser's database. Pipeline = sourced net-new. Seed = adviser-seeded into the run.</t>
  </si>
  <si>
    <t xml:space="preserve">WARMTH</t>
  </si>
  <si>
    <t xml:space="preserve">Direct = you can reach them yourself. Almost hot = direct + very live. Warm = a real but lighter connection. Via bridge = reachable through a named intermediary. Via existing = through your own commercial relationship.</t>
  </si>
  <si>
    <t xml:space="preserve">CONNECTION PATH</t>
  </si>
  <si>
    <t xml:space="preserve">Every hop in the chain, each intermediary named. You -&gt; A -&gt; B -&gt; target. Hops counts the steps.</t>
  </si>
  <si>
    <t xml:space="preserve">DEAL SUBJECTS DETECTED</t>
  </si>
  <si>
    <t xml:space="preserve">Whether deal-relevant topics appear in the message history. Signals the relationship is live and on-topic.</t>
  </si>
  <si>
    <t xml:space="preserve">STRENGTH</t>
  </si>
  <si>
    <t xml:space="preserve">Strong = real, recent, two-way (often prior deal). Medium = genuine but lighter. Light = thin. None = no path.</t>
  </si>
  <si>
    <t xml:space="preserve">PRIORITY</t>
  </si>
  <si>
    <t xml:space="preserve">P1 = high match + a path. P2 = high match, no path. P3 = funnel.</t>
  </si>
  <si>
    <t xml:space="preserve">WORTH REQUESTING</t>
  </si>
  <si>
    <t xml:space="preserve">Network intro filter. YES = deep enough to add warmth. HOLD = too thin, go direct.</t>
  </si>
  <si>
    <t xml:space="preserve">PROCEED?</t>
  </si>
  <si>
    <t xml:space="preserve">Adviser decision. Y = yes, make the intro. N = no, already covered. M = maybe, discuss. (Universe tab uses Yes/Maybe/Hold for the same triage.)</t>
  </si>
  <si>
    <t xml:space="preserve">ALSO IN SOURCED UNIVERSE</t>
  </si>
  <si>
    <t xml:space="preserve">Flags a warm contact who also appears in the sourced target list. Overlap between the network and the universe.</t>
  </si>
  <si>
    <t xml:space="preserve">NOT CAPTURED</t>
  </si>
  <si>
    <t xml:space="preserve">Signal not yet collected. Shown literally. The sheet never invents a value it does not have.</t>
  </si>
  <si>
    <t xml:space="preserve">WAVE</t>
  </si>
  <si>
    <t xml:space="preserve">Execution order from the Roadmap tab. Wave 1 d0-10, Wave 2 d10-25, Wave 3 d25-40.</t>
  </si>
  <si>
    <t xml:space="preserve">ACTION TRACKER</t>
  </si>
  <si>
    <t xml:space="preserve">The single operational view. One row per contact in execution order with the next action, whether it is done, the stage and notes. Live in this tab day to day.</t>
  </si>
  <si>
    <t xml:space="preserve">STAGE</t>
  </si>
  <si>
    <t xml:space="preserve">Pipeline status the adviser marks: Lead -&gt; Outreach sent -&gt; Replied -&gt; Meeting booked -&gt; DD begun. Passed = declined. The funnel strip counts these live.</t>
  </si>
  <si>
    <t xml:space="preserve">DONE?</t>
  </si>
  <si>
    <t xml:space="preserve">Whether the current recommended action has been taken. Yes / No.</t>
  </si>
  <si>
    <t xml:space="preserve">CONTACT CARDS</t>
  </si>
  <si>
    <t xml:space="preserve">The complete dossier per contact: sector, check size, prior deals, the full reasoning, the warm path chain and signals, the recommended action and the status. Read it before acting.</t>
  </si>
  <si>
    <t xml:space="preserve">CHECK SIZE / CAPACITY</t>
  </si>
  <si>
    <t xml:space="preserve">The counterparty's typical cheque or balance-sheet capacity for a deal of this size. Tells the adviser if the target can actually transact.</t>
  </si>
  <si>
    <t xml:space="preserve">PRIOR DEALS</t>
  </si>
  <si>
    <t xml:space="preserve">The counterparty's relevant deal history: what they have acquired or backed, and at what scale.</t>
  </si>
  <si>
    <t xml:space="preserve">CONTACT DETAILS</t>
  </si>
  <si>
    <t xml:space="preserve">Email, mobile, direct line and LinkedIn are live links. Click email to open a prefilled message, the number to dial, LinkedIn to open the profile. Action straight from the sheet.</t>
  </si>
  <si>
    <t xml:space="preserve">READY TO SEND / INTRO-PASS</t>
  </si>
  <si>
    <t xml:space="preserve">Where the path is direct, a prefilled outreach email and a LinkedIn draft. Where the path is through your own network, a prefilled intro-pass email and LinkedIn message to the connector asking them to introduce.</t>
  </si>
  <si>
    <t xml:space="preserve">REQUEST INTRO VIA ICEBERG</t>
  </si>
  <si>
    <t xml:space="preserve">Where the warm path sits with a network adviser, a prefilled email to query@iceberg.software that triggers the double opt-in intro. One click to action.</t>
  </si>
  <si>
    <t xml:space="preserve">ACTION (CLICK)</t>
  </si>
  <si>
    <t xml:space="preserve">On the Action Tracker, a single clickable link that opens the right next step for that contact: outreach, intro-pass, or Iceberg request.</t>
  </si>
  <si>
    <t xml:space="preserve">RELATIONSHIP OWNER</t>
  </si>
  <si>
    <t xml:space="preserve">Who holds the personal relationship with this contact. Adviser = the lead M&amp;A adviser. Adviser team = a colleague at the same advisory firm (name them in Notes). Founder / Client = the business owner / seller. Client team = someone on the client's internal team. Bridge (named) = a third party who is asked to make the introduction, name them. Iceberg network = another adviser in the Iceberg network. None = cold, no existing relationship.</t>
  </si>
  <si>
    <t xml:space="preserve">DELEGATE / ACTION OWNER</t>
  </si>
  <si>
    <t xml:space="preserve">Who should physically run the next step. Adviser = lead adviser executes directly. Adviser team = a named colleague on the advisory team executes. Founder / Client = the business owner leads the outreach. Client exec = someone from the client's internal team. Adviser → [name] = adviser initiates but asks a named bridge to make the intro. Iceberg = Iceberg facilitates a double opt-in intro via the network. Hold = do not action yet.</t>
  </si>
  <si>
    <t xml:space="preserve">RELATIONSHIP RISK</t>
  </si>
  <si>
    <t xml:space="preserve">Any political sensitivity or reputational risk around approaching this contact. Examples: prior process that ended badly, counterparty who felt hard done by, active conflict with another adviser, or competitor relationship. Free-text. Leave, if none known.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</si>
</sst>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8181B"/>
      <name val="Arial"/>
      <family val="0"/>
      <charset val="1"/>
    </font>
    <font>
      <b val="true"/>
      <sz val="10"/>
      <color rgb="FF18181B"/>
      <name val="Arial"/>
      <family val="0"/>
      <charset val="1"/>
    </font>
    <font>
      <sz val="10"/>
      <color rgb="FF22C55E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sz val="1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71717A"/>
      <name val="Arial"/>
      <family val="0"/>
      <charset val="1"/>
    </font>
    <font>
      <b val="true"/>
      <sz val="9"/>
      <color rgb="FF38BDF8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EF4444"/>
      <name val="Arial"/>
      <family val="0"/>
      <charset val="1"/>
    </font>
    <font>
      <sz val="8"/>
      <color rgb="FF71717A"/>
      <name val="Arial"/>
      <family val="0"/>
      <charset val="1"/>
    </font>
    <font>
      <b val="true"/>
      <sz val="14"/>
      <color rgb="FF71717A"/>
      <name val="Arial"/>
      <family val="0"/>
      <charset val="1"/>
    </font>
    <font>
      <b val="true"/>
      <sz val="14"/>
      <color rgb="FF38BDF8"/>
      <name val="Arial"/>
      <family val="0"/>
      <charset val="1"/>
    </font>
    <font>
      <b val="true"/>
      <sz val="14"/>
      <color rgb="FFD97706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14"/>
      <color rgb="FF15803D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sz val="9"/>
      <color rgb="FF18181B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71717A"/>
      <name val="Arial"/>
      <family val="0"/>
      <charset val="1"/>
    </font>
    <font>
      <b val="true"/>
      <sz val="9"/>
      <color rgb="FF1818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sz val="9"/>
      <color rgb="FF22C55E"/>
      <name val="Arial"/>
      <family val="0"/>
      <charset val="1"/>
    </font>
    <font>
      <sz val="9"/>
      <color rgb="FFD97706"/>
      <name val="Arial"/>
      <family val="0"/>
      <charset val="1"/>
    </font>
    <font>
      <b val="true"/>
      <sz val="10"/>
      <color rgb="FFEF444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70E1C"/>
        <bgColor rgb="FF111827"/>
      </patternFill>
    </fill>
    <fill>
      <patternFill patternType="solid">
        <fgColor rgb="FF18181B"/>
        <bgColor rgb="FF111827"/>
      </patternFill>
    </fill>
    <fill>
      <patternFill patternType="solid">
        <fgColor rgb="FFF4F4F5"/>
        <bgColor rgb="FFF5F8FF"/>
      </patternFill>
    </fill>
    <fill>
      <patternFill patternType="solid">
        <fgColor rgb="FF22C55E"/>
        <bgColor rgb="FF38BDF8"/>
      </patternFill>
    </fill>
    <fill>
      <patternFill patternType="solid">
        <fgColor rgb="FF38BDF8"/>
        <bgColor rgb="FF00CCFF"/>
      </patternFill>
    </fill>
    <fill>
      <patternFill patternType="solid">
        <fgColor rgb="FFE4E4E7"/>
        <bgColor rgb="FFE0F2FE"/>
      </patternFill>
    </fill>
    <fill>
      <patternFill patternType="solid">
        <fgColor rgb="FFE0F2FE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ECFDF5"/>
      </patternFill>
    </fill>
    <fill>
      <patternFill patternType="solid">
        <fgColor rgb="FFBBF7D0"/>
        <bgColor rgb="FFDCFCE7"/>
      </patternFill>
    </fill>
    <fill>
      <patternFill patternType="solid">
        <fgColor rgb="FFFEE2E2"/>
        <bgColor rgb="FFE4E4E7"/>
      </patternFill>
    </fill>
    <fill>
      <patternFill patternType="solid">
        <fgColor rgb="FFFFFFFF"/>
        <bgColor rgb="FFF5F8FF"/>
      </patternFill>
    </fill>
    <fill>
      <patternFill patternType="solid">
        <fgColor rgb="FF111827"/>
        <bgColor rgb="FF18181B"/>
      </patternFill>
    </fill>
    <fill>
      <patternFill patternType="solid">
        <fgColor rgb="FFECFDF5"/>
        <bgColor rgb="FFF5F8FF"/>
      </patternFill>
    </fill>
    <fill>
      <patternFill patternType="solid">
        <fgColor rgb="FFF5F8FF"/>
        <bgColor rgb="FFF4F4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 diagonalUp="false" diagonalDown="false">
      <left/>
      <right/>
      <top style="thin">
        <color rgb="FFD4D4D8"/>
      </top>
      <bottom style="thin">
        <color rgb="FFD4D4D8"/>
      </bottom>
      <diagonal/>
    </border>
    <border diagonalUp="false" diagonalDown="false">
      <left/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70E1C"/>
      <rgbColor rgb="FF808000"/>
      <rgbColor rgb="FF800080"/>
      <rgbColor rgb="FF008080"/>
      <rgbColor rgb="FFE4E4E7"/>
      <rgbColor rgb="FF71717A"/>
      <rgbColor rgb="FF9999FF"/>
      <rgbColor rgb="FFEF4444"/>
      <rgbColor rgb="FFFEF3C7"/>
      <rgbColor rgb="FFDCFCE7"/>
      <rgbColor rgb="FF660066"/>
      <rgbColor rgb="FFFF8080"/>
      <rgbColor rgb="FF0563C1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BBF7D0"/>
      <rgbColor rgb="FFF4F4F5"/>
      <rgbColor rgb="FFECFDF5"/>
      <rgbColor rgb="FFF5F8FF"/>
      <rgbColor rgb="FFCC99FF"/>
      <rgbColor rgb="FFFEE2E2"/>
      <rgbColor rgb="FF3366FF"/>
      <rgbColor rgb="FF38BDF8"/>
      <rgbColor rgb="FF99CC00"/>
      <rgbColor rgb="FFFFCC00"/>
      <rgbColor rgb="FFFF9900"/>
      <rgbColor rgb="FFD97706"/>
      <rgbColor rgb="FF666699"/>
      <rgbColor rgb="FF94A3B8"/>
      <rgbColor rgb="FF003366"/>
      <rgbColor rgb="FF22C55E"/>
      <rgbColor rgb="FF18181B"/>
      <rgbColor rgb="FF333300"/>
      <rgbColor rgb="FF993300"/>
      <rgbColor rgb="FF993366"/>
      <rgbColor rgb="FF333399"/>
      <rgbColor rgb="FF1118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david.reynolds@shapeaus.com.au?subject=Confidential%20opportunity%20in%20Commercial%20fit-out%20/%20interiors&amp;body=Hi%20David%2C%0A%0AReaching%20out%20confidentially%20about%20an%20opportunity%20in%20Commercial%20fit-out%20/%20interiors%20that%20ma" TargetMode="External"/><Relationship Id="rId2" Type="http://schemas.openxmlformats.org/officeDocument/2006/relationships/hyperlink" Target="mailto:t.eldridge@quadrantpe.com.au?subject=Confidential%20opportunity%20in%20Mid-market%20buyout%2C%20services%20roll-ups&amp;body=Hi%20Tom%2C%0A%0AReaching%20out%20confidentially%20about%20an%20opportunity%20in%20Mid-market%20buyout%2C%20services%20roll-ups" TargetMode="External"/><Relationship Id="rId3" Type="http://schemas.openxmlformats.org/officeDocument/2006/relationships/hyperlink" Target="mailto:mark.okafor@brightcourtgroup.com.au?subject=Quick%20intro%20to%20Marcus%20Hale%3F&amp;body=Hi%20Mark%2C%0A%0ACould%20you%20make%20a%20soft%20intro%20to%20Marcus%20Hale%20at%20Built%3F%20I%27m%20running%20a%20confidential%20mandate%20that%20fits%20them%" TargetMode="External"/><Relationship Id="rId4" Type="http://schemas.openxmlformats.org/officeDocument/2006/relationships/hyperlink" Target="mailto:query@iceberg.software?subject=Network%20intro%20request%3A%20Project%20Atlas%20%7C%20Michael%20Ward%20%28Next%20Capital%29&amp;body=Hi%20Iceberg%20team%2C%0A%0APlease%20run%20a%20double%20opt-in%20intro%20to%20Michael%20Ward%20at%20Next%20Capital%20fo" TargetMode="External"/><Relationship Id="rId5" Type="http://schemas.openxmlformats.org/officeDocument/2006/relationships/hyperlink" Target="mailto:s.kelly@adcoconstruct.com.au?subject=Confidential%20opportunity%20in%20National%20commercial%20builder&amp;body=Hi%20Sandra%2C%0A%0AReaching%20out%20confidentially%20about%20an%20opportunity%20in%20National%20commercial%20builder%20that%20may%20suit%20" TargetMode="External"/><Relationship Id="rId6" Type="http://schemas.openxmlformats.org/officeDocument/2006/relationships/hyperlink" Target="mailto:p.nair@adamantem.com.au?subject=Confidential%20opportunity%20in%20Mid-market%20buyout%2C%20services%20thesis&amp;body=Hi%20Priya%2C%0A%0AReaching%20out%20confidentially%20about%20an%20opportunity%20in%20Mid-market%20buyout%2C%20services%20thesis%20that" TargetMode="External"/><Relationship Id="rId7" Type="http://schemas.openxmlformats.org/officeDocument/2006/relationships/hyperlink" Target="mailto:query@iceberg.software?subject=Network%20intro%20request%3A%20Project%20Atlas%20%7C%20Anna%20Kovacs%20%28The%20Riverside%20Company%29&amp;body=Hi%20Iceberg%20team%2C%0A%0APlease%20run%20a%20double%20opt-in%20intro%20to%20Anna%20Kovacs%20at%20The%20Rive" TargetMode="External"/><Relationship Id="rId8" Type="http://schemas.openxmlformats.org/officeDocument/2006/relationships/hyperlink" Target="mailto:query@iceberg.software?subject=Network%20intro%20request%3A%20Project%20Atlas%20%7C%20Hannah%20Reed%20%28FDC%20Construction%29&amp;body=Hi%20Iceberg%20team%2C%0A%0APlease%20run%20a%20double%20opt-in%20intro%20to%20Hannah%20Reed%20at%20FDC%20Constructio" TargetMode="External"/><Relationship Id="rId9" Type="http://schemas.openxmlformats.org/officeDocument/2006/relationships/hyperlink" Target="mailto:daniel@tuckerfo.com.au?subject=Confidential%20opportunity%20in%20Family%20office%2C%20construction-adjacent&amp;body=Hi%20Daniel%2C%0A%0AReaching%20out%20confidentially%20about%20an%20opportunity%20in%20Family%20office%2C%20construction-adjacent%20that" TargetMode="External"/><Relationship Id="rId10" Type="http://schemas.openxmlformats.org/officeDocument/2006/relationships/hyperlink" Target="mailto:r.lim@pemba.com.au?subject=Confidential%20opportunity%20in%20Lower%20mid-market%20buyout&amp;body=Hi%20Rebecca%2C%0A%0AReaching%20out%20confidentially%20about%20an%20opportunity%20in%20Lower%20mid-market%20buyout%20that%20may%20suit%20Pemba%20Capital.%" TargetMode="External"/><Relationship Id="rId11" Type="http://schemas.openxmlformats.org/officeDocument/2006/relationships/hyperlink" Target="mailto:j.frost@allegrofunds.com.au?subject=Confidential%20opportunity%20in%20Value%20/%20special%20situations&amp;body=Hi%20James%2C%0A%0AReaching%20out%20confidentially%20about%20an%20opportunity%20in%20Value%20/%20special%20situations%20that%20may%20suit%20" TargetMode="External"/><Relationship Id="rId12" Type="http://schemas.openxmlformats.org/officeDocument/2006/relationships/hyperlink" Target="mailto:l.doyle@fivevcapital.com?subject=Confidential%20opportunity%20in%20Growth%20equity&amp;body=Hi%20Liam%2C%0A%0AReaching%20out%20confidentially%20about%20an%20opportunity%20in%20Growth%20equity%20that%20may%20suit%20Five%20V%20Capital.%20Happy%20to%20sha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david.reynolds@shapeaus.com.au" TargetMode="External"/><Relationship Id="rId2" Type="http://schemas.openxmlformats.org/officeDocument/2006/relationships/hyperlink" Target="tel:+61412004118" TargetMode="External"/><Relationship Id="rId3" Type="http://schemas.openxmlformats.org/officeDocument/2006/relationships/hyperlink" Target="mailto:david.reynolds@shapeaus.com.au?subject=Confidential%20opportunity%20in%20Commercial%20fit-out%20/%20interiors&amp;body=Hi%20David%2C%0A%0AReaching%20out%20confidentially%20about%20an%20opportunity%20in%20Commercial%20fit-out%20/%20interiors%20that%20ma" TargetMode="External"/><Relationship Id="rId4" Type="http://schemas.openxmlformats.org/officeDocument/2006/relationships/hyperlink" Target="https://www.linkedin.com/in/david-reynolds-shape" TargetMode="External"/><Relationship Id="rId5" Type="http://schemas.openxmlformats.org/officeDocument/2006/relationships/hyperlink" Target="mailto:t.eldridge@quadrantpe.com.au" TargetMode="External"/><Relationship Id="rId6" Type="http://schemas.openxmlformats.org/officeDocument/2006/relationships/hyperlink" Target="tel:+61402339771" TargetMode="External"/><Relationship Id="rId7" Type="http://schemas.openxmlformats.org/officeDocument/2006/relationships/hyperlink" Target="mailto:t.eldridge@quadrantpe.com.au?subject=Confidential%20opportunity%20in%20Mid-market%20buyout%2C%20services%20roll-ups&amp;body=Hi%20Tom%2C%0A%0AReaching%20out%20confidentially%20about%20an%20opportunity%20in%20Mid-market%20buyout%2C%20services%20roll-ups" TargetMode="External"/><Relationship Id="rId8" Type="http://schemas.openxmlformats.org/officeDocument/2006/relationships/hyperlink" Target="https://www.linkedin.com/in/tom-eldridge-pe" TargetMode="External"/><Relationship Id="rId9" Type="http://schemas.openxmlformats.org/officeDocument/2006/relationships/hyperlink" Target="mailto:m.hale@built.com.au" TargetMode="External"/><Relationship Id="rId10" Type="http://schemas.openxmlformats.org/officeDocument/2006/relationships/hyperlink" Target="tel:+61419882553" TargetMode="External"/><Relationship Id="rId11" Type="http://schemas.openxmlformats.org/officeDocument/2006/relationships/hyperlink" Target="mailto:mark.okafor@brightcourtgroup.com.au?subject=Quick%20intro%20to%20Marcus%20Hale%3F&amp;body=Hi%20Mark%2C%0A%0ACould%20you%20make%20a%20soft%20intro%20to%20Marcus%20Hale%20at%20Built%3F%20I%27m%20running%20a%20confidential%20mandate%20that%20fits%20them%" TargetMode="External"/><Relationship Id="rId12" Type="http://schemas.openxmlformats.org/officeDocument/2006/relationships/hyperlink" Target="https://www.linkedin.com/in/mark-okafor" TargetMode="External"/><Relationship Id="rId13" Type="http://schemas.openxmlformats.org/officeDocument/2006/relationships/hyperlink" Target="mailto:greg.hutchinson@hutchinsonbuilders.com.au" TargetMode="External"/><Relationship Id="rId14" Type="http://schemas.openxmlformats.org/officeDocument/2006/relationships/hyperlink" Target="tel:+61407118920" TargetMode="External"/><Relationship Id="rId15" Type="http://schemas.openxmlformats.org/officeDocument/2006/relationships/hyperlink" Target="mailto:query@iceberg.software?subject=Network%20intro%20request%3A%20Project%20Atlas%20%7C%20Michael%20Ward%20%28Next%20Capital%29&amp;body=Hi%20Iceberg%20team%2C%0A%0APlease%20run%20a%20double%20opt-in%20intro%20to%20Michael%20Ward%20at%20Next%20Capital%20fo" TargetMode="External"/><Relationship Id="rId16" Type="http://schemas.openxmlformats.org/officeDocument/2006/relationships/hyperlink" Target="mailto:s.kelly@adcoconstruct.com.au" TargetMode="External"/><Relationship Id="rId17" Type="http://schemas.openxmlformats.org/officeDocument/2006/relationships/hyperlink" Target="mailto:p.nair@adamantem.com.au" TargetMode="External"/><Relationship Id="rId18" Type="http://schemas.openxmlformats.org/officeDocument/2006/relationships/hyperlink" Target="tel:+61416220904" TargetMode="External"/><Relationship Id="rId19" Type="http://schemas.openxmlformats.org/officeDocument/2006/relationships/hyperlink" Target="mailto:p.nair@adamantem.com.au?subject=Confidential%20opportunity%20in%20Mid-market%20buyout%2C%20services%20thesis&amp;body=Hi%20Priya%2C%0A%0AReaching%20out%20confidentially%20about%20an%20opportunity%20in%20Mid-market%20buyout%2C%20services%20thesis%20that" TargetMode="External"/><Relationship Id="rId20" Type="http://schemas.openxmlformats.org/officeDocument/2006/relationships/hyperlink" Target="mailto:a.kovacs@riversidecompany.com" TargetMode="External"/><Relationship Id="rId21" Type="http://schemas.openxmlformats.org/officeDocument/2006/relationships/hyperlink" Target="tel:+61403661248" TargetMode="External"/><Relationship Id="rId22" Type="http://schemas.openxmlformats.org/officeDocument/2006/relationships/hyperlink" Target="mailto:query@iceberg.software?subject=Network%20intro%20request%3A%20Project%20Atlas%20%7C%20Anna%20Kovacs%20%28The%20Riverside%20Company%29&amp;body=Hi%20Iceberg%20team%2C%0A%0APlease%20run%20a%20double%20opt-in%20intro%20to%20Anna%20Kovacs%20at%20The%20Rive" TargetMode="External"/><Relationship Id="rId23" Type="http://schemas.openxmlformats.org/officeDocument/2006/relationships/hyperlink" Target="mailto:h.reed@fdcbuilding.com.au" TargetMode="External"/><Relationship Id="rId24" Type="http://schemas.openxmlformats.org/officeDocument/2006/relationships/hyperlink" Target="tel:+61402884117" TargetMode="External"/><Relationship Id="rId25" Type="http://schemas.openxmlformats.org/officeDocument/2006/relationships/hyperlink" Target="mailto:query@iceberg.software?subject=Network%20intro%20request%3A%20Project%20Atlas%20%7C%20Hannah%20Reed%20%28FDC%20Construction%29&amp;body=Hi%20Iceberg%20team%2C%0A%0APlease%20run%20a%20double%20opt-in%20intro%20to%20Hannah%20Reed%20at%20FDC%20Constructio" TargetMode="External"/><Relationship Id="rId26" Type="http://schemas.openxmlformats.org/officeDocument/2006/relationships/hyperlink" Target="mailto:daniel@tuckerfo.com.au" TargetMode="External"/><Relationship Id="rId27" Type="http://schemas.openxmlformats.org/officeDocument/2006/relationships/hyperlink" Target="tel:+61418003552" TargetMode="External"/><Relationship Id="rId28" Type="http://schemas.openxmlformats.org/officeDocument/2006/relationships/hyperlink" Target="mailto:daniel@tuckerfo.com.au?subject=Confidential%20opportunity%20in%20Family%20office%2C%20construction-adjacent&amp;body=Hi%20Daniel%2C%0A%0AReaching%20out%20confidentially%20about%20an%20opportunity%20in%20Family%20office%2C%20construction-adjacent%20that" TargetMode="External"/><Relationship Id="rId29" Type="http://schemas.openxmlformats.org/officeDocument/2006/relationships/hyperlink" Target="https://www.linkedin.com/in/daniel-tucker" TargetMode="External"/><Relationship Id="rId30" Type="http://schemas.openxmlformats.org/officeDocument/2006/relationships/hyperlink" Target="mailto:r.lim@pemba.com.au" TargetMode="External"/><Relationship Id="rId31" Type="http://schemas.openxmlformats.org/officeDocument/2006/relationships/hyperlink" Target="tel:+61405779331" TargetMode="External"/><Relationship Id="rId32" Type="http://schemas.openxmlformats.org/officeDocument/2006/relationships/hyperlink" Target="mailto:r.lim@pemba.com.au?subject=Confidential%20opportunity%20in%20Lower%20mid-market%20buyout&amp;body=Hi%20Rebecca%2C%0A%0AReaching%20out%20confidentially%20about%20an%20opportunity%20in%20Lower%20mid-market%20buyout%20that%20may%20suit%20Pemba%20Capital.%" TargetMode="External"/><Relationship Id="rId33" Type="http://schemas.openxmlformats.org/officeDocument/2006/relationships/hyperlink" Target="https://www.linkedin.com/in/rebecca-lim-pemba" TargetMode="External"/><Relationship Id="rId34" Type="http://schemas.openxmlformats.org/officeDocument/2006/relationships/hyperlink" Target="mailto:j.frost@allegrofunds.com.au" TargetMode="External"/><Relationship Id="rId35" Type="http://schemas.openxmlformats.org/officeDocument/2006/relationships/hyperlink" Target="tel:+61409220884" TargetMode="External"/><Relationship Id="rId36" Type="http://schemas.openxmlformats.org/officeDocument/2006/relationships/hyperlink" Target="mailto:j.frost@allegrofunds.com.au?subject=Confidential%20opportunity%20in%20Value%20/%20special%20situations&amp;body=Hi%20James%2C%0A%0AReaching%20out%20confidentially%20about%20an%20opportunity%20in%20Value%20/%20special%20situations%20that%20may%20suit%20" TargetMode="External"/><Relationship Id="rId37" Type="http://schemas.openxmlformats.org/officeDocument/2006/relationships/hyperlink" Target="https://www.linkedin.com/in/james-frost-allegro" TargetMode="External"/><Relationship Id="rId38" Type="http://schemas.openxmlformats.org/officeDocument/2006/relationships/hyperlink" Target="tel:+61412553008" TargetMode="External"/><Relationship Id="rId39" Type="http://schemas.openxmlformats.org/officeDocument/2006/relationships/hyperlink" Target="mailto:l.doyle@fivevcapital.com?subject=Confidential%20opportunity%20in%20Growth%20equity&amp;body=Hi%20Liam%2C%0A%0AReaching%20out%20confidentially%20about%20an%20opportunity%20in%20Growth%20equity%20that%20may%20suit%20Five%20V%20Capital.%20Happy%20to%20sha" TargetMode="External"/><Relationship Id="rId40" Type="http://schemas.openxmlformats.org/officeDocument/2006/relationships/hyperlink" Target="https://www.linkedin.com/in/liam-doyle-5v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david.reynolds@shapeaus.com.au" TargetMode="External"/><Relationship Id="rId2" Type="http://schemas.openxmlformats.org/officeDocument/2006/relationships/hyperlink" Target="tel:+61412004118" TargetMode="External"/><Relationship Id="rId3" Type="http://schemas.openxmlformats.org/officeDocument/2006/relationships/hyperlink" Target="tel:+61280001041" TargetMode="External"/><Relationship Id="rId4" Type="http://schemas.openxmlformats.org/officeDocument/2006/relationships/hyperlink" Target="https://www.linkedin.com/in/david-reynolds-shape" TargetMode="External"/><Relationship Id="rId5" Type="http://schemas.openxmlformats.org/officeDocument/2006/relationships/hyperlink" Target="mailto:m.hale@built.com.au" TargetMode="External"/><Relationship Id="rId6" Type="http://schemas.openxmlformats.org/officeDocument/2006/relationships/hyperlink" Target="tel:+61419882553" TargetMode="External"/><Relationship Id="rId7" Type="http://schemas.openxmlformats.org/officeDocument/2006/relationships/hyperlink" Target="tel:+61292230100" TargetMode="External"/><Relationship Id="rId8" Type="http://schemas.openxmlformats.org/officeDocument/2006/relationships/hyperlink" Target="https://www.linkedin.com/in/marcus-hale" TargetMode="External"/><Relationship Id="rId9" Type="http://schemas.openxmlformats.org/officeDocument/2006/relationships/hyperlink" Target="mailto:t.eldridge@quadrantpe.com.au" TargetMode="External"/><Relationship Id="rId10" Type="http://schemas.openxmlformats.org/officeDocument/2006/relationships/hyperlink" Target="tel:+61402339771" TargetMode="External"/><Relationship Id="rId11" Type="http://schemas.openxmlformats.org/officeDocument/2006/relationships/hyperlink" Target="tel:+61292216300" TargetMode="External"/><Relationship Id="rId12" Type="http://schemas.openxmlformats.org/officeDocument/2006/relationships/hyperlink" Target="https://www.linkedin.com/in/tom-eldridge-pe" TargetMode="External"/><Relationship Id="rId13" Type="http://schemas.openxmlformats.org/officeDocument/2006/relationships/hyperlink" Target="mailto:greg.hutchinson@hutchinsonbuilders.com.au" TargetMode="External"/><Relationship Id="rId14" Type="http://schemas.openxmlformats.org/officeDocument/2006/relationships/hyperlink" Target="tel:+61407118920" TargetMode="External"/><Relationship Id="rId15" Type="http://schemas.openxmlformats.org/officeDocument/2006/relationships/hyperlink" Target="tel:+61733355000" TargetMode="External"/><Relationship Id="rId16" Type="http://schemas.openxmlformats.org/officeDocument/2006/relationships/hyperlink" Target="https://www.linkedin.com/in/greg-hutchinson" TargetMode="External"/><Relationship Id="rId17" Type="http://schemas.openxmlformats.org/officeDocument/2006/relationships/hyperlink" Target="mailto:p.nair@adamantem.com.au" TargetMode="External"/><Relationship Id="rId18" Type="http://schemas.openxmlformats.org/officeDocument/2006/relationships/hyperlink" Target="tel:+61416220904" TargetMode="External"/><Relationship Id="rId19" Type="http://schemas.openxmlformats.org/officeDocument/2006/relationships/hyperlink" Target="tel:+61290485900" TargetMode="External"/><Relationship Id="rId20" Type="http://schemas.openxmlformats.org/officeDocument/2006/relationships/hyperlink" Target="https://www.linkedin.com/in/priya-nair" TargetMode="External"/><Relationship Id="rId21" Type="http://schemas.openxmlformats.org/officeDocument/2006/relationships/hyperlink" Target="mailto:m.ward@nextcapital.com.au" TargetMode="External"/><Relationship Id="rId22" Type="http://schemas.openxmlformats.org/officeDocument/2006/relationships/hyperlink" Target="tel:+61414552008" TargetMode="External"/><Relationship Id="rId23" Type="http://schemas.openxmlformats.org/officeDocument/2006/relationships/hyperlink" Target="tel:+61292231300" TargetMode="External"/><Relationship Id="rId24" Type="http://schemas.openxmlformats.org/officeDocument/2006/relationships/hyperlink" Target="https://www.linkedin.com/in/michael-ward-next" TargetMode="External"/><Relationship Id="rId25" Type="http://schemas.openxmlformats.org/officeDocument/2006/relationships/hyperlink" Target="mailto:s.kelly@adcoconstruct.com.au" TargetMode="External"/><Relationship Id="rId26" Type="http://schemas.openxmlformats.org/officeDocument/2006/relationships/hyperlink" Target="tel:+61408771226" TargetMode="External"/><Relationship Id="rId27" Type="http://schemas.openxmlformats.org/officeDocument/2006/relationships/hyperlink" Target="tel:+61739091500" TargetMode="External"/><Relationship Id="rId28" Type="http://schemas.openxmlformats.org/officeDocument/2006/relationships/hyperlink" Target="https://www.linkedin.com/in/sandra-kelly-adco" TargetMode="External"/><Relationship Id="rId29" Type="http://schemas.openxmlformats.org/officeDocument/2006/relationships/hyperlink" Target="mailto:j.frost@allegrofunds.com.au" TargetMode="External"/><Relationship Id="rId30" Type="http://schemas.openxmlformats.org/officeDocument/2006/relationships/hyperlink" Target="tel:+61409220884" TargetMode="External"/><Relationship Id="rId31" Type="http://schemas.openxmlformats.org/officeDocument/2006/relationships/hyperlink" Target="tel:+61280162500" TargetMode="External"/><Relationship Id="rId32" Type="http://schemas.openxmlformats.org/officeDocument/2006/relationships/hyperlink" Target="https://www.linkedin.com/in/james-frost-allegro" TargetMode="External"/><Relationship Id="rId33" Type="http://schemas.openxmlformats.org/officeDocument/2006/relationships/hyperlink" Target="mailto:a.kovacs@riversidecompany.com" TargetMode="External"/><Relationship Id="rId34" Type="http://schemas.openxmlformats.org/officeDocument/2006/relationships/hyperlink" Target="tel:+61403661248" TargetMode="External"/><Relationship Id="rId35" Type="http://schemas.openxmlformats.org/officeDocument/2006/relationships/hyperlink" Target="tel:+61399991200" TargetMode="External"/><Relationship Id="rId36" Type="http://schemas.openxmlformats.org/officeDocument/2006/relationships/hyperlink" Target="https://www.linkedin.com/in/anna-kovacs-riverside" TargetMode="External"/><Relationship Id="rId37" Type="http://schemas.openxmlformats.org/officeDocument/2006/relationships/hyperlink" Target="mailto:oliver.grant@isgplc.com" TargetMode="External"/><Relationship Id="rId38" Type="http://schemas.openxmlformats.org/officeDocument/2006/relationships/hyperlink" Target="tel:+447700900118" TargetMode="External"/><Relationship Id="rId39" Type="http://schemas.openxmlformats.org/officeDocument/2006/relationships/hyperlink" Target="tel:+442073922000" TargetMode="External"/><Relationship Id="rId40" Type="http://schemas.openxmlformats.org/officeDocument/2006/relationships/hyperlink" Target="https://www.linkedin.com/in/oliver-grant-isg" TargetMode="External"/><Relationship Id="rId41" Type="http://schemas.openxmlformats.org/officeDocument/2006/relationships/hyperlink" Target="mailto:r.lim@pemba.com.au" TargetMode="External"/><Relationship Id="rId42" Type="http://schemas.openxmlformats.org/officeDocument/2006/relationships/hyperlink" Target="tel:+61405779331" TargetMode="External"/><Relationship Id="rId43" Type="http://schemas.openxmlformats.org/officeDocument/2006/relationships/hyperlink" Target="tel:+61282110900" TargetMode="External"/><Relationship Id="rId44" Type="http://schemas.openxmlformats.org/officeDocument/2006/relationships/hyperlink" Target="https://www.linkedin.com/in/rebecca-lim-pemba" TargetMode="External"/><Relationship Id="rId45" Type="http://schemas.openxmlformats.org/officeDocument/2006/relationships/hyperlink" Target="mailto:daniel@tuckerfo.com.au" TargetMode="External"/><Relationship Id="rId46" Type="http://schemas.openxmlformats.org/officeDocument/2006/relationships/hyperlink" Target="tel:+61418003552" TargetMode="External"/><Relationship Id="rId47" Type="http://schemas.openxmlformats.org/officeDocument/2006/relationships/hyperlink" Target="tel:+61865007700" TargetMode="External"/><Relationship Id="rId48" Type="http://schemas.openxmlformats.org/officeDocument/2006/relationships/hyperlink" Target="https://www.linkedin.com/in/daniel-tucker" TargetMode="External"/><Relationship Id="rId49" Type="http://schemas.openxmlformats.org/officeDocument/2006/relationships/hyperlink" Target="mailto:h.reed@fdcbuilding.com.au" TargetMode="External"/><Relationship Id="rId50" Type="http://schemas.openxmlformats.org/officeDocument/2006/relationships/hyperlink" Target="tel:+61402884117" TargetMode="External"/><Relationship Id="rId51" Type="http://schemas.openxmlformats.org/officeDocument/2006/relationships/hyperlink" Target="tel:+61293042000" TargetMode="External"/><Relationship Id="rId52" Type="http://schemas.openxmlformats.org/officeDocument/2006/relationships/hyperlink" Target="https://www.linkedin.com/in/hannah-reed-fdc" TargetMode="External"/><Relationship Id="rId53" Type="http://schemas.openxmlformats.org/officeDocument/2006/relationships/hyperlink" Target="mailto:l.doyle@fivevcapital.com" TargetMode="External"/><Relationship Id="rId54" Type="http://schemas.openxmlformats.org/officeDocument/2006/relationships/hyperlink" Target="tel:+61412553008" TargetMode="External"/><Relationship Id="rId55" Type="http://schemas.openxmlformats.org/officeDocument/2006/relationships/hyperlink" Target="tel:+61283114000" TargetMode="External"/><Relationship Id="rId56" Type="http://schemas.openxmlformats.org/officeDocument/2006/relationships/hyperlink" Target="https://www.linkedin.com/in/liam-doyle-5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6"/>
  </cols>
  <sheetData>
    <row r="1" customFormat="false" ht="24" hidden="false" customHeight="true" outlineLevel="0" collapsed="false">
      <c r="A1" s="2" t="s">
        <v>0</v>
      </c>
      <c r="B1" s="2"/>
    </row>
    <row r="2" customFormat="false" ht="15.7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/>
    </row>
    <row r="5" customFormat="false" ht="18" hidden="false" customHeight="true" outlineLevel="0" collapsed="false">
      <c r="A5" s="6" t="s">
        <v>3</v>
      </c>
      <c r="B5" s="7" t="s">
        <v>4</v>
      </c>
    </row>
    <row r="6" customFormat="false" ht="27.75" hidden="false" customHeight="true" outlineLevel="0" collapsed="false">
      <c r="A6" s="6" t="s">
        <v>5</v>
      </c>
      <c r="B6" s="7" t="s">
        <v>6</v>
      </c>
    </row>
    <row r="7" customFormat="false" ht="18" hidden="false" customHeight="true" outlineLevel="0" collapsed="false">
      <c r="A7" s="6" t="s">
        <v>7</v>
      </c>
      <c r="B7" s="7" t="s">
        <v>8</v>
      </c>
    </row>
    <row r="8" customFormat="false" ht="18" hidden="false" customHeight="true" outlineLevel="0" collapsed="false">
      <c r="A8" s="6" t="s">
        <v>9</v>
      </c>
      <c r="B8" s="7" t="s">
        <v>10</v>
      </c>
    </row>
    <row r="9" customFormat="false" ht="18" hidden="false" customHeight="true" outlineLevel="0" collapsed="false">
      <c r="A9" s="6" t="s">
        <v>11</v>
      </c>
      <c r="B9" s="7" t="s">
        <v>12</v>
      </c>
    </row>
    <row r="10" customFormat="false" ht="18" hidden="false" customHeight="true" outlineLevel="0" collapsed="false">
      <c r="A10" s="6" t="s">
        <v>13</v>
      </c>
      <c r="B10" s="7" t="s">
        <v>14</v>
      </c>
    </row>
    <row r="11" customFormat="false" ht="18" hidden="false" customHeight="true" outlineLevel="0" collapsed="false">
      <c r="A11" s="6" t="s">
        <v>15</v>
      </c>
      <c r="B11" s="7" t="s">
        <v>16</v>
      </c>
    </row>
    <row r="12" customFormat="false" ht="27.75" hidden="false" customHeight="true" outlineLevel="0" collapsed="false">
      <c r="A12" s="6" t="s">
        <v>17</v>
      </c>
      <c r="B12" s="7" t="s">
        <v>18</v>
      </c>
    </row>
    <row r="13" customFormat="false" ht="27.75" hidden="false" customHeight="true" outlineLevel="0" collapsed="false">
      <c r="A13" s="6" t="s">
        <v>19</v>
      </c>
      <c r="B13" s="7" t="s">
        <v>20</v>
      </c>
    </row>
    <row r="15" customFormat="false" ht="15" hidden="false" customHeight="true" outlineLevel="0" collapsed="false">
      <c r="A15" s="4" t="s">
        <v>21</v>
      </c>
      <c r="B15" s="5"/>
    </row>
    <row r="16" customFormat="false" ht="15" hidden="false" customHeight="true" outlineLevel="0" collapsed="false">
      <c r="A16" s="6" t="s">
        <v>22</v>
      </c>
      <c r="B16" s="8" t="n">
        <f aca="false">COUNTA(Universe!B3:B40)</f>
        <v>14</v>
      </c>
    </row>
    <row r="17" customFormat="false" ht="15" hidden="false" customHeight="true" outlineLevel="0" collapsed="false">
      <c r="A17" s="6" t="s">
        <v>23</v>
      </c>
      <c r="B17" s="8" t="n">
        <f aca="false">COUNTIF(Universe!L3:L40,"P1")</f>
        <v>3</v>
      </c>
    </row>
    <row r="18" customFormat="false" ht="15" hidden="false" customHeight="true" outlineLevel="0" collapsed="false">
      <c r="A18" s="6" t="s">
        <v>24</v>
      </c>
      <c r="B18" s="8" t="n">
        <f aca="false">COUNTIF(Universe!L3:L40,"P2")</f>
        <v>4</v>
      </c>
    </row>
    <row r="19" customFormat="false" ht="15" hidden="false" customHeight="true" outlineLevel="0" collapsed="false">
      <c r="A19" s="6" t="s">
        <v>25</v>
      </c>
      <c r="B19" s="8" t="n">
        <f aca="false">COUNTIF(Universe!L3:L40,"P3")</f>
        <v>7</v>
      </c>
    </row>
    <row r="20" customFormat="false" ht="15" hidden="false" customHeight="true" outlineLevel="0" collapsed="false">
      <c r="A20" s="6" t="s">
        <v>26</v>
      </c>
      <c r="B20" s="9" t="n">
        <f aca="false">COUNTIF(Universe!K3:K40,"Own")</f>
        <v>4</v>
      </c>
    </row>
    <row r="21" customFormat="false" ht="15" hidden="false" customHeight="true" outlineLevel="0" collapsed="false">
      <c r="A21" s="6" t="s">
        <v>27</v>
      </c>
      <c r="B21" s="9" t="n">
        <f aca="false">COUNTIF(Universe!K3:K40,"Network")</f>
        <v>4</v>
      </c>
    </row>
    <row r="22" customFormat="false" ht="15" hidden="false" customHeight="true" outlineLevel="0" collapsed="false">
      <c r="A22" s="6" t="s">
        <v>28</v>
      </c>
      <c r="B22" s="8" t="n">
        <f aca="false">COUNTIF(Universe!J3:J40,"Your DB")</f>
        <v>8</v>
      </c>
    </row>
    <row r="23" customFormat="false" ht="15" hidden="false" customHeight="true" outlineLevel="0" collapsed="false">
      <c r="A23" s="6" t="s">
        <v>29</v>
      </c>
      <c r="B23" s="8" t="n">
        <f aca="false">COUNTIF(Universe!J3:J40,"Pipeline")</f>
        <v>5</v>
      </c>
    </row>
    <row r="24" customFormat="false" ht="15" hidden="false" customHeight="true" outlineLevel="0" collapsed="false">
      <c r="A24" s="6" t="s">
        <v>30</v>
      </c>
      <c r="B24" s="8" t="n">
        <f aca="false">COUNTIF(Universe!J3:J40,"Seed")</f>
        <v>1</v>
      </c>
    </row>
    <row r="26" customFormat="false" ht="15" hidden="false" customHeight="true" outlineLevel="0" collapsed="false">
      <c r="A26" s="10" t="s">
        <v>31</v>
      </c>
      <c r="B26" s="11"/>
    </row>
    <row r="27" customFormat="false" ht="18" hidden="false" customHeight="true" outlineLevel="0" collapsed="false">
      <c r="A27" s="12" t="s">
        <v>32</v>
      </c>
      <c r="B27" s="13" t="str">
        <f aca="false">COUNTIFS(Universe!K$3:K$40,"Own",Universe!L$3:L$40,"P1")+COUNTIFS(Universe!K$3:K$40,"Own",Universe!L$3:L$40,"P2")&amp;" of "&amp;(COUNTIF(Universe!L$3:L$40,"P1")+COUNTIF(Universe!L$3:L$40,"P2"))&amp;" priority contacts have a warm path"</f>
        <v>3 of 7 priority contacts have a warm path</v>
      </c>
    </row>
    <row r="28" customFormat="false" ht="18" hidden="false" customHeight="true" outlineLevel="0" collapsed="false">
      <c r="A28" s="12" t="s">
        <v>33</v>
      </c>
      <c r="B28" s="13" t="str">
        <f aca="false">COUNTIF(Universe!G$3:G$40,"&gt;=80")&amp;" contacts"</f>
        <v>6 contacts</v>
      </c>
    </row>
    <row r="29" customFormat="false" ht="18" hidden="false" customHeight="true" outlineLevel="0" collapsed="false">
      <c r="A29" s="12" t="s">
        <v>34</v>
      </c>
      <c r="B29" s="14" t="s">
        <v>35</v>
      </c>
    </row>
    <row r="30" customFormat="false" ht="18" hidden="false" customHeight="true" outlineLevel="0" collapsed="false">
      <c r="A30" s="12" t="s">
        <v>36</v>
      </c>
      <c r="B30" s="15" t="str">
        <f aca="false">IF((COUNTIFS(Universe!K$3:K$40,"Own",Universe!L$3:L$40,"P1")+COUNTIFS(Universe!K$3:K$40,"Own",Universe!L$3:L$40,"P2"))/(COUNTIF(Universe!L$3:L$40,"P1")+COUNTIF(Universe!L$3:L$40,"P2"))&gt;=0.5,"READY TO GO LIVE",IF((COUNTIFS(Universe!K$3:K$40,"Own",Universe!L$3:L$40,"P1")+COUNTIFS(Universe!K$3:K$40,"Own",Universe!L$3:L$40,"P2"))/(COUNTIF(Universe!L$3:L$40,"P1")+COUNTIF(Universe!L$3:L$40,"P2"))&gt;=0.25,"NEARLY THERE — consider 1 more sourcing week","MORE SOURCING RECOMMENDED"))</f>
        <v>NEARLY THERE — consider 1 more sourcing week</v>
      </c>
    </row>
    <row r="31" customFormat="false" ht="7.5" hidden="false" customHeight="true" outlineLevel="0" collapsed="false"/>
    <row r="32" customFormat="false" ht="15" hidden="false" customHeight="true" outlineLevel="0" collapsed="false">
      <c r="A32" s="4" t="s">
        <v>37</v>
      </c>
      <c r="B32" s="5"/>
    </row>
    <row r="33" customFormat="false" ht="27" hidden="false" customHeight="true" outlineLevel="0" collapsed="false">
      <c r="A33" s="6" t="s">
        <v>38</v>
      </c>
      <c r="B33" s="14" t="s">
        <v>39</v>
      </c>
    </row>
    <row r="34" customFormat="false" ht="27" hidden="false" customHeight="true" outlineLevel="0" collapsed="false">
      <c r="A34" s="12" t="s">
        <v>40</v>
      </c>
      <c r="B34" s="14" t="s">
        <v>41</v>
      </c>
    </row>
    <row r="35" customFormat="false" ht="18" hidden="false" customHeight="true" outlineLevel="0" collapsed="false">
      <c r="A35" s="12" t="s">
        <v>42</v>
      </c>
      <c r="B35" s="14" t="s">
        <v>43</v>
      </c>
    </row>
    <row r="36" customFormat="false" ht="18" hidden="false" customHeight="true" outlineLevel="0" collapsed="false">
      <c r="A36" s="12" t="s">
        <v>44</v>
      </c>
      <c r="B36" s="13" t="s">
        <v>45</v>
      </c>
    </row>
    <row r="37" customFormat="false" ht="15" hidden="false" customHeight="true" outlineLevel="0" collapsed="false">
      <c r="A37" s="16"/>
      <c r="B37" s="1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" t="s">
        <v>46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17" t="s">
        <v>47</v>
      </c>
      <c r="B2" s="17"/>
      <c r="C2" s="17"/>
      <c r="D2" s="17"/>
      <c r="E2" s="17"/>
      <c r="F2" s="17"/>
    </row>
    <row r="4" customFormat="false" ht="31.5" hidden="false" customHeight="true" outlineLevel="0" collapsed="false">
      <c r="A4" s="18" t="s">
        <v>48</v>
      </c>
      <c r="B4" s="18" t="s">
        <v>49</v>
      </c>
      <c r="C4" s="18" t="s">
        <v>50</v>
      </c>
      <c r="D4" s="18" t="s">
        <v>51</v>
      </c>
      <c r="E4" s="18" t="s">
        <v>52</v>
      </c>
      <c r="F4" s="18" t="s">
        <v>53</v>
      </c>
    </row>
    <row r="5" customFormat="false" ht="81.75" hidden="false" customHeight="true" outlineLevel="0" collapsed="false">
      <c r="A5" s="19" t="s">
        <v>54</v>
      </c>
      <c r="B5" s="8" t="s">
        <v>55</v>
      </c>
      <c r="C5" s="7" t="s">
        <v>56</v>
      </c>
      <c r="D5" s="7" t="s">
        <v>57</v>
      </c>
      <c r="E5" s="7" t="s">
        <v>58</v>
      </c>
      <c r="F5" s="7" t="s">
        <v>59</v>
      </c>
    </row>
    <row r="6" customFormat="false" ht="81.75" hidden="false" customHeight="true" outlineLevel="0" collapsed="false">
      <c r="A6" s="20" t="s">
        <v>60</v>
      </c>
      <c r="B6" s="8" t="s">
        <v>61</v>
      </c>
      <c r="C6" s="7" t="s">
        <v>62</v>
      </c>
      <c r="D6" s="7" t="s">
        <v>63</v>
      </c>
      <c r="E6" s="7" t="s">
        <v>64</v>
      </c>
      <c r="F6" s="7" t="s">
        <v>65</v>
      </c>
    </row>
    <row r="7" customFormat="false" ht="81.75" hidden="false" customHeight="true" outlineLevel="0" collapsed="false">
      <c r="A7" s="21" t="s">
        <v>66</v>
      </c>
      <c r="B7" s="8" t="s">
        <v>67</v>
      </c>
      <c r="C7" s="7" t="s">
        <v>68</v>
      </c>
      <c r="D7" s="7" t="s">
        <v>69</v>
      </c>
      <c r="E7" s="7" t="s">
        <v>70</v>
      </c>
      <c r="F7" s="7" t="s">
        <v>71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7"/>
    <col collapsed="false" customWidth="true" hidden="false" outlineLevel="0" max="8" min="8" style="1" width="28"/>
    <col collapsed="false" customWidth="true" hidden="false" outlineLevel="0" max="9" min="9" style="1" width="40"/>
    <col collapsed="false" customWidth="true" hidden="false" outlineLevel="0" max="10" min="10" style="1" width="36"/>
    <col collapsed="false" customWidth="true" hidden="false" outlineLevel="0" max="11" min="11" style="1" width="8"/>
    <col collapsed="false" customWidth="true" hidden="false" outlineLevel="0" max="12" min="12" style="1" width="15"/>
    <col collapsed="false" customWidth="true" hidden="false" outlineLevel="0" max="13" min="13" style="1" width="22"/>
    <col collapsed="false" customWidth="true" hidden="false" outlineLevel="0" max="14" min="14" style="1" width="30"/>
    <col collapsed="false" customWidth="true" hidden="false" outlineLevel="0" max="17" min="17" style="1" width="28"/>
  </cols>
  <sheetData>
    <row r="1" customFormat="false" ht="24" hidden="false" customHeight="true" outlineLevel="0" collapsed="false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17" t="s">
        <v>73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15.75" hidden="false" customHeight="true" outlineLevel="0" collapsed="false">
      <c r="A3" s="22" t="s">
        <v>74</v>
      </c>
      <c r="B3" s="23" t="s">
        <v>75</v>
      </c>
      <c r="C3" s="24" t="s">
        <v>76</v>
      </c>
      <c r="D3" s="25" t="s">
        <v>77</v>
      </c>
      <c r="E3" s="26" t="s">
        <v>78</v>
      </c>
      <c r="F3" s="27" t="s">
        <v>79</v>
      </c>
      <c r="G3" s="13"/>
      <c r="H3" s="28" t="s">
        <v>80</v>
      </c>
    </row>
    <row r="4" customFormat="false" ht="24" hidden="false" customHeight="true" outlineLevel="0" collapsed="false">
      <c r="A4" s="29" t="n">
        <f aca="false">COUNTIF($L$6:$L$40,"Lead")</f>
        <v>9</v>
      </c>
      <c r="B4" s="30" t="n">
        <f aca="false">COUNTIF($L$6:$L$40,"Outreach sent")</f>
        <v>2</v>
      </c>
      <c r="C4" s="31" t="n">
        <f aca="false">COUNTIF($L$6:$L$40,"Replied")</f>
        <v>2</v>
      </c>
      <c r="D4" s="32" t="n">
        <f aca="false">COUNTIF($L$6:$L$40,"Meeting booked")</f>
        <v>1</v>
      </c>
      <c r="E4" s="33" t="n">
        <f aca="false">COUNTIF($L$6:$L$40,"DD begun")</f>
        <v>0</v>
      </c>
      <c r="F4" s="34" t="n">
        <f aca="false">COUNTIF($L$6:$L$40,"Passed")</f>
        <v>0</v>
      </c>
    </row>
    <row r="5" customFormat="false" ht="31.5" hidden="false" customHeight="true" outlineLevel="0" collapsed="false">
      <c r="A5" s="18" t="s">
        <v>81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86</v>
      </c>
      <c r="G5" s="18" t="s">
        <v>87</v>
      </c>
      <c r="H5" s="18" t="s">
        <v>88</v>
      </c>
      <c r="I5" s="18" t="s">
        <v>89</v>
      </c>
      <c r="J5" s="18" t="s">
        <v>90</v>
      </c>
      <c r="K5" s="18" t="s">
        <v>91</v>
      </c>
      <c r="L5" s="18" t="s">
        <v>92</v>
      </c>
      <c r="M5" s="18" t="s">
        <v>93</v>
      </c>
      <c r="N5" s="18" t="s">
        <v>94</v>
      </c>
      <c r="O5" s="1" t="s">
        <v>95</v>
      </c>
      <c r="P5" s="1" t="s">
        <v>96</v>
      </c>
      <c r="Q5" s="35" t="s">
        <v>97</v>
      </c>
    </row>
    <row r="6" customFormat="false" ht="63.75" hidden="false" customHeight="true" outlineLevel="0" collapsed="false">
      <c r="A6" s="36" t="n">
        <v>1</v>
      </c>
      <c r="B6" s="37" t="s">
        <v>98</v>
      </c>
      <c r="C6" s="38" t="s">
        <v>99</v>
      </c>
      <c r="D6" s="38" t="s">
        <v>100</v>
      </c>
      <c r="E6" s="39" t="s">
        <v>101</v>
      </c>
      <c r="F6" s="39" t="s">
        <v>102</v>
      </c>
      <c r="G6" s="40" t="n">
        <v>94</v>
      </c>
      <c r="H6" s="39" t="s">
        <v>103</v>
      </c>
      <c r="I6" s="39" t="s">
        <v>104</v>
      </c>
      <c r="J6" s="39" t="s">
        <v>105</v>
      </c>
      <c r="K6" s="41" t="s">
        <v>106</v>
      </c>
      <c r="L6" s="25" t="s">
        <v>77</v>
      </c>
      <c r="M6" s="39" t="s">
        <v>107</v>
      </c>
      <c r="N6" s="42" t="s">
        <v>108</v>
      </c>
      <c r="O6" s="13" t="s">
        <v>7</v>
      </c>
      <c r="P6" s="13" t="s">
        <v>7</v>
      </c>
      <c r="Q6" s="43" t="s">
        <v>109</v>
      </c>
    </row>
    <row r="7" customFormat="false" ht="63.75" hidden="false" customHeight="true" outlineLevel="0" collapsed="false">
      <c r="A7" s="36" t="n">
        <v>2</v>
      </c>
      <c r="B7" s="37" t="s">
        <v>110</v>
      </c>
      <c r="C7" s="38" t="s">
        <v>111</v>
      </c>
      <c r="D7" s="38" t="s">
        <v>112</v>
      </c>
      <c r="E7" s="39" t="s">
        <v>113</v>
      </c>
      <c r="F7" s="39" t="s">
        <v>114</v>
      </c>
      <c r="G7" s="40" t="n">
        <v>88</v>
      </c>
      <c r="H7" s="39" t="s">
        <v>115</v>
      </c>
      <c r="I7" s="39" t="s">
        <v>116</v>
      </c>
      <c r="J7" s="39" t="s">
        <v>117</v>
      </c>
      <c r="K7" s="41" t="s">
        <v>106</v>
      </c>
      <c r="L7" s="24" t="s">
        <v>76</v>
      </c>
      <c r="M7" s="39" t="s">
        <v>118</v>
      </c>
      <c r="N7" s="42" t="s">
        <v>108</v>
      </c>
      <c r="O7" s="13" t="s">
        <v>7</v>
      </c>
      <c r="P7" s="13" t="s">
        <v>7</v>
      </c>
      <c r="Q7" s="43" t="s">
        <v>109</v>
      </c>
    </row>
    <row r="8" customFormat="false" ht="63.75" hidden="false" customHeight="true" outlineLevel="0" collapsed="false">
      <c r="A8" s="36" t="n">
        <v>3</v>
      </c>
      <c r="B8" s="37" t="s">
        <v>119</v>
      </c>
      <c r="C8" s="38" t="s">
        <v>120</v>
      </c>
      <c r="D8" s="38" t="s">
        <v>121</v>
      </c>
      <c r="E8" s="39" t="s">
        <v>122</v>
      </c>
      <c r="F8" s="39" t="s">
        <v>123</v>
      </c>
      <c r="G8" s="40" t="n">
        <v>90</v>
      </c>
      <c r="H8" s="39" t="s">
        <v>124</v>
      </c>
      <c r="I8" s="39" t="s">
        <v>125</v>
      </c>
      <c r="J8" s="39" t="s">
        <v>126</v>
      </c>
      <c r="K8" s="41" t="s">
        <v>106</v>
      </c>
      <c r="L8" s="23" t="s">
        <v>75</v>
      </c>
      <c r="M8" s="39" t="s">
        <v>127</v>
      </c>
      <c r="N8" s="42" t="s">
        <v>128</v>
      </c>
      <c r="O8" s="13" t="s">
        <v>129</v>
      </c>
      <c r="P8" s="13" t="s">
        <v>130</v>
      </c>
      <c r="Q8" s="43" t="s">
        <v>109</v>
      </c>
    </row>
    <row r="9" customFormat="false" ht="63.75" hidden="false" customHeight="true" outlineLevel="0" collapsed="false">
      <c r="A9" s="36" t="n">
        <v>4</v>
      </c>
      <c r="B9" s="37" t="s">
        <v>131</v>
      </c>
      <c r="C9" s="38" t="s">
        <v>132</v>
      </c>
      <c r="D9" s="38" t="s">
        <v>133</v>
      </c>
      <c r="E9" s="39" t="s">
        <v>134</v>
      </c>
      <c r="F9" s="39" t="s">
        <v>135</v>
      </c>
      <c r="G9" s="40" t="n">
        <v>84</v>
      </c>
      <c r="H9" s="39" t="s">
        <v>136</v>
      </c>
      <c r="I9" s="39" t="s">
        <v>137</v>
      </c>
      <c r="J9" s="39" t="s">
        <v>138</v>
      </c>
      <c r="K9" s="44" t="s">
        <v>139</v>
      </c>
      <c r="L9" s="22" t="s">
        <v>74</v>
      </c>
      <c r="M9" s="39"/>
      <c r="N9" s="45" t="s">
        <v>140</v>
      </c>
      <c r="O9" s="13" t="s">
        <v>141</v>
      </c>
      <c r="P9" s="13" t="s">
        <v>141</v>
      </c>
      <c r="Q9" s="43" t="s">
        <v>109</v>
      </c>
    </row>
    <row r="10" customFormat="false" ht="63.75" hidden="false" customHeight="true" outlineLevel="0" collapsed="false">
      <c r="A10" s="36" t="n">
        <v>5</v>
      </c>
      <c r="B10" s="37" t="s">
        <v>142</v>
      </c>
      <c r="C10" s="38" t="s">
        <v>111</v>
      </c>
      <c r="D10" s="38" t="s">
        <v>143</v>
      </c>
      <c r="E10" s="39" t="s">
        <v>144</v>
      </c>
      <c r="F10" s="39" t="s">
        <v>145</v>
      </c>
      <c r="G10" s="40" t="n">
        <v>81</v>
      </c>
      <c r="H10" s="39" t="s">
        <v>146</v>
      </c>
      <c r="I10" s="39" t="s">
        <v>147</v>
      </c>
      <c r="J10" s="39" t="s">
        <v>148</v>
      </c>
      <c r="K10" s="41" t="s">
        <v>106</v>
      </c>
      <c r="L10" s="23" t="s">
        <v>75</v>
      </c>
      <c r="M10" s="39" t="s">
        <v>149</v>
      </c>
      <c r="N10" s="42" t="s">
        <v>150</v>
      </c>
      <c r="O10" s="13" t="s">
        <v>151</v>
      </c>
      <c r="P10" s="13" t="s">
        <v>152</v>
      </c>
      <c r="Q10" s="43" t="s">
        <v>109</v>
      </c>
    </row>
    <row r="11" customFormat="false" ht="63.75" hidden="false" customHeight="true" outlineLevel="0" collapsed="false">
      <c r="A11" s="36" t="n">
        <v>6</v>
      </c>
      <c r="B11" s="37" t="s">
        <v>153</v>
      </c>
      <c r="C11" s="38" t="s">
        <v>154</v>
      </c>
      <c r="D11" s="38" t="s">
        <v>155</v>
      </c>
      <c r="E11" s="39" t="s">
        <v>156</v>
      </c>
      <c r="F11" s="39" t="s">
        <v>157</v>
      </c>
      <c r="G11" s="46" t="n">
        <v>78</v>
      </c>
      <c r="H11" s="39" t="s">
        <v>158</v>
      </c>
      <c r="I11" s="39" t="s">
        <v>159</v>
      </c>
      <c r="J11" s="39" t="s">
        <v>160</v>
      </c>
      <c r="K11" s="44" t="s">
        <v>139</v>
      </c>
      <c r="L11" s="22" t="s">
        <v>74</v>
      </c>
      <c r="M11" s="39"/>
      <c r="N11" s="42" t="s">
        <v>108</v>
      </c>
      <c r="O11" s="13" t="s">
        <v>7</v>
      </c>
      <c r="P11" s="13" t="s">
        <v>7</v>
      </c>
      <c r="Q11" s="43" t="s">
        <v>109</v>
      </c>
    </row>
    <row r="12" customFormat="false" ht="63.75" hidden="false" customHeight="true" outlineLevel="0" collapsed="false">
      <c r="A12" s="36" t="n">
        <v>7</v>
      </c>
      <c r="B12" s="37" t="s">
        <v>161</v>
      </c>
      <c r="C12" s="38" t="s">
        <v>162</v>
      </c>
      <c r="D12" s="38" t="s">
        <v>163</v>
      </c>
      <c r="E12" s="39" t="s">
        <v>164</v>
      </c>
      <c r="F12" s="39" t="s">
        <v>165</v>
      </c>
      <c r="G12" s="40" t="n">
        <v>83</v>
      </c>
      <c r="H12" s="39" t="s">
        <v>166</v>
      </c>
      <c r="I12" s="39" t="s">
        <v>167</v>
      </c>
      <c r="J12" s="39" t="s">
        <v>168</v>
      </c>
      <c r="K12" s="44" t="s">
        <v>139</v>
      </c>
      <c r="L12" s="22" t="s">
        <v>74</v>
      </c>
      <c r="M12" s="39"/>
      <c r="N12" s="42" t="s">
        <v>108</v>
      </c>
      <c r="O12" s="13" t="s">
        <v>169</v>
      </c>
      <c r="P12" s="13" t="s">
        <v>7</v>
      </c>
      <c r="Q12" s="43" t="s">
        <v>109</v>
      </c>
    </row>
    <row r="13" customFormat="false" ht="63.75" hidden="false" customHeight="true" outlineLevel="0" collapsed="false">
      <c r="A13" s="36" t="n">
        <v>8</v>
      </c>
      <c r="B13" s="37" t="s">
        <v>170</v>
      </c>
      <c r="C13" s="38" t="s">
        <v>171</v>
      </c>
      <c r="D13" s="38" t="s">
        <v>172</v>
      </c>
      <c r="E13" s="39" t="s">
        <v>173</v>
      </c>
      <c r="F13" s="39" t="s">
        <v>174</v>
      </c>
      <c r="G13" s="46" t="n">
        <v>77</v>
      </c>
      <c r="H13" s="39" t="s">
        <v>175</v>
      </c>
      <c r="I13" s="39" t="s">
        <v>176</v>
      </c>
      <c r="J13" s="39" t="s">
        <v>177</v>
      </c>
      <c r="K13" s="44" t="s">
        <v>139</v>
      </c>
      <c r="L13" s="22" t="s">
        <v>74</v>
      </c>
      <c r="M13" s="39"/>
      <c r="N13" s="42" t="s">
        <v>150</v>
      </c>
      <c r="O13" s="13" t="s">
        <v>151</v>
      </c>
      <c r="P13" s="13" t="s">
        <v>152</v>
      </c>
      <c r="Q13" s="43" t="s">
        <v>109</v>
      </c>
    </row>
    <row r="14" customFormat="false" ht="63.75" hidden="false" customHeight="true" outlineLevel="0" collapsed="false">
      <c r="A14" s="36" t="n">
        <v>9</v>
      </c>
      <c r="B14" s="37" t="s">
        <v>178</v>
      </c>
      <c r="C14" s="38" t="s">
        <v>179</v>
      </c>
      <c r="D14" s="38" t="s">
        <v>180</v>
      </c>
      <c r="E14" s="39" t="s">
        <v>181</v>
      </c>
      <c r="F14" s="39" t="s">
        <v>182</v>
      </c>
      <c r="G14" s="46" t="n">
        <v>64</v>
      </c>
      <c r="H14" s="39" t="s">
        <v>183</v>
      </c>
      <c r="I14" s="39" t="s">
        <v>184</v>
      </c>
      <c r="J14" s="39" t="s">
        <v>185</v>
      </c>
      <c r="K14" s="44" t="s">
        <v>139</v>
      </c>
      <c r="L14" s="22" t="s">
        <v>74</v>
      </c>
      <c r="M14" s="39" t="s">
        <v>186</v>
      </c>
      <c r="N14" s="42" t="s">
        <v>150</v>
      </c>
      <c r="O14" s="13" t="s">
        <v>151</v>
      </c>
      <c r="P14" s="13" t="s">
        <v>152</v>
      </c>
      <c r="Q14" s="43" t="s">
        <v>109</v>
      </c>
    </row>
    <row r="15" customFormat="false" ht="63.75" hidden="false" customHeight="true" outlineLevel="0" collapsed="false">
      <c r="A15" s="36" t="n">
        <v>10</v>
      </c>
      <c r="B15" s="37" t="s">
        <v>187</v>
      </c>
      <c r="C15" s="38" t="s">
        <v>188</v>
      </c>
      <c r="D15" s="38" t="s">
        <v>189</v>
      </c>
      <c r="E15" s="39" t="s">
        <v>190</v>
      </c>
      <c r="F15" s="39" t="s">
        <v>191</v>
      </c>
      <c r="G15" s="46" t="n">
        <v>66</v>
      </c>
      <c r="H15" s="39" t="s">
        <v>192</v>
      </c>
      <c r="I15" s="39" t="s">
        <v>193</v>
      </c>
      <c r="J15" s="39" t="s">
        <v>194</v>
      </c>
      <c r="K15" s="41" t="s">
        <v>106</v>
      </c>
      <c r="L15" s="24" t="s">
        <v>76</v>
      </c>
      <c r="M15" s="39" t="s">
        <v>195</v>
      </c>
      <c r="N15" s="42" t="s">
        <v>108</v>
      </c>
      <c r="O15" s="13" t="s">
        <v>7</v>
      </c>
      <c r="P15" s="13" t="s">
        <v>7</v>
      </c>
      <c r="Q15" s="43" t="s">
        <v>109</v>
      </c>
    </row>
    <row r="16" customFormat="false" ht="63.75" hidden="false" customHeight="true" outlineLevel="0" collapsed="false">
      <c r="A16" s="36" t="n">
        <v>11</v>
      </c>
      <c r="B16" s="37" t="s">
        <v>196</v>
      </c>
      <c r="C16" s="38" t="s">
        <v>132</v>
      </c>
      <c r="D16" s="38" t="s">
        <v>197</v>
      </c>
      <c r="E16" s="39" t="s">
        <v>198</v>
      </c>
      <c r="F16" s="39" t="s">
        <v>199</v>
      </c>
      <c r="G16" s="46" t="n">
        <v>70</v>
      </c>
      <c r="H16" s="39" t="s">
        <v>200</v>
      </c>
      <c r="I16" s="39" t="s">
        <v>201</v>
      </c>
      <c r="J16" s="39" t="s">
        <v>202</v>
      </c>
      <c r="K16" s="44" t="s">
        <v>139</v>
      </c>
      <c r="L16" s="22" t="s">
        <v>74</v>
      </c>
      <c r="M16" s="39"/>
      <c r="N16" s="42" t="s">
        <v>108</v>
      </c>
      <c r="O16" s="13" t="s">
        <v>169</v>
      </c>
      <c r="P16" s="13" t="s">
        <v>7</v>
      </c>
      <c r="Q16" s="43" t="s">
        <v>109</v>
      </c>
    </row>
    <row r="17" customFormat="false" ht="63.75" hidden="false" customHeight="true" outlineLevel="0" collapsed="false">
      <c r="A17" s="36" t="n">
        <v>12</v>
      </c>
      <c r="B17" s="37" t="s">
        <v>203</v>
      </c>
      <c r="C17" s="38" t="s">
        <v>204</v>
      </c>
      <c r="D17" s="38" t="s">
        <v>205</v>
      </c>
      <c r="E17" s="39" t="s">
        <v>206</v>
      </c>
      <c r="F17" s="39" t="s">
        <v>207</v>
      </c>
      <c r="G17" s="46" t="n">
        <v>74</v>
      </c>
      <c r="H17" s="39" t="s">
        <v>208</v>
      </c>
      <c r="I17" s="39" t="s">
        <v>209</v>
      </c>
      <c r="J17" s="39" t="s">
        <v>210</v>
      </c>
      <c r="K17" s="44" t="s">
        <v>139</v>
      </c>
      <c r="L17" s="22" t="s">
        <v>74</v>
      </c>
      <c r="M17" s="39"/>
      <c r="N17" s="42" t="s">
        <v>108</v>
      </c>
      <c r="O17" s="13" t="s">
        <v>169</v>
      </c>
      <c r="P17" s="13" t="s">
        <v>7</v>
      </c>
      <c r="Q17" s="43" t="s">
        <v>109</v>
      </c>
    </row>
    <row r="18" customFormat="false" ht="63.75" hidden="false" customHeight="true" outlineLevel="0" collapsed="false">
      <c r="A18" s="36" t="n">
        <v>13</v>
      </c>
      <c r="B18" s="37" t="s">
        <v>211</v>
      </c>
      <c r="C18" s="38" t="s">
        <v>162</v>
      </c>
      <c r="D18" s="38" t="s">
        <v>212</v>
      </c>
      <c r="E18" s="39" t="s">
        <v>213</v>
      </c>
      <c r="F18" s="39" t="s">
        <v>214</v>
      </c>
      <c r="G18" s="46" t="n">
        <v>60</v>
      </c>
      <c r="H18" s="39" t="s">
        <v>215</v>
      </c>
      <c r="I18" s="39" t="s">
        <v>216</v>
      </c>
      <c r="J18" s="39" t="s">
        <v>217</v>
      </c>
      <c r="K18" s="44" t="s">
        <v>139</v>
      </c>
      <c r="L18" s="22" t="s">
        <v>74</v>
      </c>
      <c r="M18" s="39"/>
      <c r="N18" s="42" t="s">
        <v>108</v>
      </c>
      <c r="O18" s="13" t="s">
        <v>169</v>
      </c>
      <c r="P18" s="13" t="s">
        <v>7</v>
      </c>
      <c r="Q18" s="43" t="s">
        <v>109</v>
      </c>
    </row>
    <row r="19" customFormat="false" ht="63.75" hidden="false" customHeight="true" outlineLevel="0" collapsed="false">
      <c r="A19" s="36" t="n">
        <v>14</v>
      </c>
      <c r="B19" s="37" t="s">
        <v>218</v>
      </c>
      <c r="C19" s="38" t="s">
        <v>219</v>
      </c>
      <c r="D19" s="38" t="s">
        <v>220</v>
      </c>
      <c r="E19" s="39" t="s">
        <v>221</v>
      </c>
      <c r="F19" s="39" t="s">
        <v>222</v>
      </c>
      <c r="G19" s="46" t="n">
        <v>72</v>
      </c>
      <c r="H19" s="39" t="s">
        <v>223</v>
      </c>
      <c r="I19" s="39" t="s">
        <v>224</v>
      </c>
      <c r="J19" s="39" t="s">
        <v>225</v>
      </c>
      <c r="K19" s="44" t="s">
        <v>139</v>
      </c>
      <c r="L19" s="22" t="s">
        <v>74</v>
      </c>
      <c r="M19" s="39" t="s">
        <v>226</v>
      </c>
      <c r="N19" s="45" t="s">
        <v>227</v>
      </c>
      <c r="O19" s="13" t="s">
        <v>151</v>
      </c>
      <c r="P19" s="13" t="s">
        <v>228</v>
      </c>
      <c r="Q19" s="43" t="s">
        <v>109</v>
      </c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K6:K40" type="list">
      <formula1>"Yes,No"</formula1>
      <formula2>0</formula2>
    </dataValidation>
    <dataValidation allowBlank="true" errorStyle="stop" operator="between" showDropDown="false" showErrorMessage="false" showInputMessage="false" sqref="L6:L40" type="list">
      <formula1>"Lead,Outreach sent,Replied,Meeting booked,DD begun,Passed"</formula1>
      <formula2>0</formula2>
    </dataValidation>
  </dataValidations>
  <hyperlinks>
    <hyperlink ref="N6" r:id="rId1" display="Open outreach email"/>
    <hyperlink ref="N7" r:id="rId2" display="Open outreach email"/>
    <hyperlink ref="N8" r:id="rId3" display="Open intro-pass email to Marcus Obi"/>
    <hyperlink ref="N10" r:id="rId4" display="Request this intro via Iceberg"/>
    <hyperlink ref="N11" r:id="rId5" display="Open outreach email"/>
    <hyperlink ref="N12" r:id="rId6" display="Open outreach email"/>
    <hyperlink ref="N13" r:id="rId7" display="Request this intro via Iceberg"/>
    <hyperlink ref="N14" r:id="rId8" display="Request this intro via Iceberg"/>
    <hyperlink ref="N15" r:id="rId9" display="Open outreach email"/>
    <hyperlink ref="N16" r:id="rId10" display="Open outreach email"/>
    <hyperlink ref="N17" r:id="rId11" display="Open outreach email"/>
    <hyperlink ref="N18" r:id="rId12" display="Open outreach ema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6" min="3" style="1" width="18"/>
  </cols>
  <sheetData>
    <row r="1" customFormat="false" ht="24" hidden="false" customHeight="true" outlineLevel="0" collapsed="false">
      <c r="A1" s="2" t="s">
        <v>229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17" t="s">
        <v>230</v>
      </c>
      <c r="B2" s="17"/>
      <c r="C2" s="17"/>
      <c r="D2" s="17"/>
      <c r="E2" s="17"/>
      <c r="F2" s="17"/>
    </row>
    <row r="4" customFormat="false" ht="21.75" hidden="false" customHeight="true" outlineLevel="0" collapsed="false">
      <c r="A4" s="47" t="s">
        <v>231</v>
      </c>
      <c r="B4" s="47"/>
      <c r="C4" s="47"/>
      <c r="D4" s="47"/>
      <c r="E4" s="47"/>
      <c r="F4" s="47"/>
    </row>
    <row r="5" customFormat="false" ht="18" hidden="false" customHeight="true" outlineLevel="0" collapsed="false">
      <c r="A5" s="48" t="s">
        <v>232</v>
      </c>
      <c r="B5" s="48"/>
      <c r="C5" s="48"/>
      <c r="D5" s="48"/>
      <c r="E5" s="48"/>
      <c r="F5" s="48"/>
    </row>
    <row r="6" customFormat="false" ht="18" hidden="false" customHeight="true" outlineLevel="0" collapsed="false">
      <c r="A6" s="49" t="s">
        <v>233</v>
      </c>
      <c r="B6" s="39" t="s">
        <v>102</v>
      </c>
      <c r="C6" s="39"/>
      <c r="D6" s="39"/>
      <c r="E6" s="39"/>
      <c r="F6" s="39"/>
    </row>
    <row r="7" customFormat="false" ht="18" hidden="false" customHeight="true" outlineLevel="0" collapsed="false">
      <c r="A7" s="49" t="s">
        <v>88</v>
      </c>
      <c r="B7" s="39" t="s">
        <v>103</v>
      </c>
      <c r="C7" s="39"/>
      <c r="D7" s="39"/>
      <c r="E7" s="39"/>
      <c r="F7" s="39"/>
    </row>
    <row r="8" customFormat="false" ht="48" hidden="false" customHeight="true" outlineLevel="0" collapsed="false">
      <c r="A8" s="49" t="s">
        <v>89</v>
      </c>
      <c r="B8" s="39" t="s">
        <v>104</v>
      </c>
      <c r="C8" s="39"/>
      <c r="D8" s="39"/>
      <c r="E8" s="39"/>
      <c r="F8" s="39"/>
    </row>
    <row r="9" customFormat="false" ht="18" hidden="false" customHeight="true" outlineLevel="0" collapsed="false">
      <c r="A9" s="49" t="s">
        <v>234</v>
      </c>
      <c r="B9" s="39" t="s">
        <v>235</v>
      </c>
      <c r="C9" s="39"/>
      <c r="D9" s="39"/>
      <c r="E9" s="39"/>
      <c r="F9" s="39"/>
    </row>
    <row r="10" customFormat="false" ht="33" hidden="false" customHeight="true" outlineLevel="0" collapsed="false">
      <c r="A10" s="49" t="s">
        <v>236</v>
      </c>
      <c r="B10" s="39" t="s">
        <v>237</v>
      </c>
      <c r="C10" s="39"/>
      <c r="D10" s="39"/>
      <c r="E10" s="39"/>
      <c r="F10" s="39"/>
    </row>
    <row r="11" customFormat="false" ht="15" hidden="false" customHeight="true" outlineLevel="0" collapsed="false">
      <c r="A11" s="50" t="s">
        <v>95</v>
      </c>
      <c r="B11" s="51" t="s">
        <v>238</v>
      </c>
      <c r="C11" s="51"/>
      <c r="D11" s="51"/>
      <c r="E11" s="51"/>
      <c r="F11" s="51"/>
    </row>
    <row r="12" customFormat="false" ht="15" hidden="false" customHeight="true" outlineLevel="0" collapsed="false">
      <c r="A12" s="50" t="s">
        <v>239</v>
      </c>
      <c r="B12" s="51" t="s">
        <v>240</v>
      </c>
      <c r="C12" s="51"/>
      <c r="D12" s="51"/>
      <c r="E12" s="51"/>
      <c r="F12" s="51"/>
    </row>
    <row r="13" customFormat="false" ht="18" hidden="false" customHeight="true" outlineLevel="0" collapsed="false">
      <c r="A13" s="49" t="s">
        <v>90</v>
      </c>
      <c r="B13" s="39" t="s">
        <v>105</v>
      </c>
      <c r="C13" s="52"/>
      <c r="D13" s="52"/>
      <c r="E13" s="52"/>
      <c r="F13" s="53"/>
    </row>
    <row r="14" customFormat="false" ht="18" hidden="false" customHeight="true" outlineLevel="0" collapsed="false">
      <c r="A14" s="49" t="s">
        <v>241</v>
      </c>
      <c r="B14" s="42" t="s">
        <v>242</v>
      </c>
      <c r="C14" s="42"/>
      <c r="D14" s="42"/>
      <c r="E14" s="42"/>
      <c r="F14" s="42"/>
    </row>
    <row r="15" customFormat="false" ht="18" hidden="false" customHeight="true" outlineLevel="0" collapsed="false">
      <c r="A15" s="49" t="s">
        <v>243</v>
      </c>
      <c r="B15" s="42" t="s">
        <v>244</v>
      </c>
      <c r="C15" s="42"/>
      <c r="D15" s="42"/>
      <c r="E15" s="42"/>
      <c r="F15" s="42"/>
    </row>
    <row r="16" customFormat="false" ht="33" hidden="false" customHeight="true" outlineLevel="0" collapsed="false">
      <c r="A16" s="49" t="s">
        <v>245</v>
      </c>
      <c r="B16" s="42" t="s">
        <v>108</v>
      </c>
      <c r="C16" s="42"/>
      <c r="D16" s="42"/>
      <c r="E16" s="42"/>
      <c r="F16" s="42"/>
    </row>
    <row r="17" customFormat="false" ht="18" hidden="false" customHeight="true" outlineLevel="0" collapsed="false">
      <c r="A17" s="49" t="s">
        <v>246</v>
      </c>
      <c r="B17" s="42" t="s">
        <v>247</v>
      </c>
      <c r="C17" s="42"/>
      <c r="D17" s="42"/>
      <c r="E17" s="42"/>
      <c r="F17" s="42"/>
    </row>
    <row r="18" customFormat="false" ht="15" hidden="false" customHeight="true" outlineLevel="0" collapsed="false">
      <c r="A18" s="49" t="s">
        <v>248</v>
      </c>
      <c r="B18" s="38" t="s">
        <v>249</v>
      </c>
      <c r="C18" s="52"/>
      <c r="D18" s="52"/>
      <c r="E18" s="52"/>
      <c r="F18" s="53"/>
    </row>
    <row r="19" customFormat="false" ht="21.75" hidden="false" customHeight="true" outlineLevel="0" collapsed="false">
      <c r="A19" s="49" t="s">
        <v>250</v>
      </c>
      <c r="B19" s="49"/>
      <c r="C19" s="49"/>
      <c r="D19" s="49"/>
      <c r="E19" s="49"/>
      <c r="F19" s="49"/>
    </row>
    <row r="20" customFormat="false" ht="18" hidden="false" customHeight="true" outlineLevel="0" collapsed="false">
      <c r="A20" s="54"/>
      <c r="B20" s="54"/>
      <c r="C20" s="54"/>
      <c r="D20" s="54"/>
      <c r="E20" s="54"/>
      <c r="F20" s="54"/>
    </row>
    <row r="21" customFormat="false" ht="18" hidden="false" customHeight="true" outlineLevel="0" collapsed="false">
      <c r="A21" s="55" t="s">
        <v>251</v>
      </c>
      <c r="B21" s="54"/>
      <c r="C21" s="54"/>
      <c r="D21" s="54"/>
      <c r="E21" s="54"/>
      <c r="F21" s="54"/>
    </row>
    <row r="22" customFormat="false" ht="18" hidden="false" customHeight="true" outlineLevel="0" collapsed="false">
      <c r="A22" s="48" t="s">
        <v>252</v>
      </c>
      <c r="B22" s="53"/>
      <c r="C22" s="53"/>
      <c r="D22" s="53"/>
      <c r="E22" s="53"/>
      <c r="F22" s="53"/>
    </row>
    <row r="23" customFormat="false" ht="33" hidden="false" customHeight="true" outlineLevel="0" collapsed="false">
      <c r="A23" s="49" t="s">
        <v>233</v>
      </c>
      <c r="B23" s="39" t="s">
        <v>114</v>
      </c>
      <c r="C23" s="39"/>
      <c r="D23" s="39"/>
      <c r="E23" s="39"/>
      <c r="F23" s="39"/>
    </row>
    <row r="24" customFormat="false" ht="18" hidden="false" customHeight="true" outlineLevel="0" collapsed="false">
      <c r="A24" s="49" t="s">
        <v>88</v>
      </c>
      <c r="B24" s="39" t="s">
        <v>115</v>
      </c>
      <c r="C24" s="39"/>
      <c r="D24" s="39"/>
      <c r="E24" s="39"/>
      <c r="F24" s="39"/>
    </row>
    <row r="25" customFormat="false" ht="33" hidden="false" customHeight="true" outlineLevel="0" collapsed="false">
      <c r="A25" s="49" t="s">
        <v>89</v>
      </c>
      <c r="B25" s="39" t="s">
        <v>116</v>
      </c>
      <c r="C25" s="39"/>
      <c r="D25" s="39"/>
      <c r="E25" s="39"/>
      <c r="F25" s="39"/>
    </row>
    <row r="26" customFormat="false" ht="15" hidden="false" customHeight="true" outlineLevel="0" collapsed="false">
      <c r="A26" s="49" t="s">
        <v>234</v>
      </c>
      <c r="B26" s="39" t="s">
        <v>253</v>
      </c>
      <c r="C26" s="39"/>
      <c r="D26" s="39"/>
      <c r="E26" s="39"/>
      <c r="F26" s="39"/>
    </row>
    <row r="27" customFormat="false" ht="15" hidden="false" customHeight="true" outlineLevel="0" collapsed="false">
      <c r="A27" s="49" t="s">
        <v>236</v>
      </c>
      <c r="B27" s="39" t="s">
        <v>254</v>
      </c>
      <c r="C27" s="39"/>
      <c r="D27" s="39"/>
      <c r="E27" s="39"/>
      <c r="F27" s="39"/>
    </row>
    <row r="28" customFormat="false" ht="18" hidden="false" customHeight="true" outlineLevel="0" collapsed="false">
      <c r="A28" s="50" t="s">
        <v>95</v>
      </c>
      <c r="B28" s="56" t="s">
        <v>255</v>
      </c>
    </row>
    <row r="29" customFormat="false" ht="18" hidden="false" customHeight="true" outlineLevel="0" collapsed="false">
      <c r="A29" s="50" t="s">
        <v>239</v>
      </c>
      <c r="B29" s="51" t="s">
        <v>256</v>
      </c>
      <c r="C29" s="51"/>
      <c r="D29" s="51"/>
      <c r="E29" s="51"/>
      <c r="F29" s="51"/>
    </row>
    <row r="30" customFormat="false" ht="18" hidden="false" customHeight="true" outlineLevel="0" collapsed="false">
      <c r="A30" s="49" t="s">
        <v>90</v>
      </c>
      <c r="B30" s="39" t="s">
        <v>117</v>
      </c>
      <c r="C30" s="39"/>
      <c r="D30" s="39"/>
      <c r="E30" s="39"/>
      <c r="F30" s="39"/>
    </row>
    <row r="31" customFormat="false" ht="33" hidden="false" customHeight="true" outlineLevel="0" collapsed="false">
      <c r="A31" s="49" t="s">
        <v>241</v>
      </c>
      <c r="B31" s="42" t="s">
        <v>257</v>
      </c>
      <c r="C31" s="42"/>
      <c r="D31" s="42"/>
      <c r="E31" s="42"/>
      <c r="F31" s="42"/>
    </row>
    <row r="32" customFormat="false" ht="18" hidden="false" customHeight="true" outlineLevel="0" collapsed="false">
      <c r="A32" s="49" t="s">
        <v>243</v>
      </c>
      <c r="B32" s="42" t="s">
        <v>258</v>
      </c>
      <c r="C32" s="42"/>
      <c r="D32" s="42"/>
      <c r="E32" s="42"/>
      <c r="F32" s="42"/>
    </row>
    <row r="33" customFormat="false" ht="15" hidden="false" customHeight="true" outlineLevel="0" collapsed="false">
      <c r="A33" s="49" t="s">
        <v>245</v>
      </c>
      <c r="B33" s="42" t="s">
        <v>108</v>
      </c>
      <c r="C33" s="52"/>
      <c r="D33" s="52"/>
      <c r="E33" s="52"/>
      <c r="F33" s="53"/>
    </row>
    <row r="34" customFormat="false" ht="21.75" hidden="false" customHeight="true" outlineLevel="0" collapsed="false">
      <c r="A34" s="49" t="s">
        <v>246</v>
      </c>
      <c r="B34" s="49"/>
      <c r="C34" s="49"/>
      <c r="D34" s="49"/>
      <c r="E34" s="49"/>
      <c r="F34" s="49"/>
    </row>
    <row r="35" customFormat="false" ht="18" hidden="false" customHeight="true" outlineLevel="0" collapsed="false">
      <c r="A35" s="49" t="s">
        <v>248</v>
      </c>
      <c r="B35" s="49"/>
      <c r="C35" s="49"/>
      <c r="D35" s="49"/>
      <c r="E35" s="49"/>
      <c r="F35" s="49"/>
    </row>
    <row r="36" customFormat="false" ht="18" hidden="false" customHeight="true" outlineLevel="0" collapsed="false">
      <c r="A36" s="49" t="s">
        <v>250</v>
      </c>
      <c r="B36" s="38" t="s">
        <v>259</v>
      </c>
      <c r="C36" s="38"/>
      <c r="D36" s="38"/>
      <c r="E36" s="38"/>
      <c r="F36" s="38"/>
    </row>
    <row r="37" customFormat="false" ht="18" hidden="false" customHeight="true" outlineLevel="0" collapsed="false">
      <c r="B37" s="54"/>
      <c r="C37" s="54"/>
      <c r="D37" s="54"/>
      <c r="E37" s="54"/>
      <c r="F37" s="54"/>
    </row>
    <row r="38" customFormat="false" ht="33" hidden="false" customHeight="true" outlineLevel="0" collapsed="false">
      <c r="A38" s="55" t="s">
        <v>260</v>
      </c>
      <c r="B38" s="54"/>
      <c r="C38" s="54"/>
      <c r="D38" s="54"/>
      <c r="E38" s="54"/>
      <c r="F38" s="54"/>
    </row>
    <row r="39" customFormat="false" ht="18" hidden="false" customHeight="true" outlineLevel="0" collapsed="false">
      <c r="A39" s="57" t="s">
        <v>261</v>
      </c>
      <c r="B39" s="53"/>
      <c r="C39" s="53"/>
      <c r="D39" s="53"/>
      <c r="E39" s="53"/>
      <c r="F39" s="53"/>
    </row>
    <row r="40" customFormat="false" ht="33" hidden="false" customHeight="true" outlineLevel="0" collapsed="false">
      <c r="A40" s="49" t="s">
        <v>233</v>
      </c>
      <c r="B40" s="39" t="s">
        <v>123</v>
      </c>
      <c r="C40" s="39"/>
      <c r="D40" s="39"/>
      <c r="E40" s="39"/>
      <c r="F40" s="39"/>
    </row>
    <row r="41" customFormat="false" ht="15" hidden="false" customHeight="true" outlineLevel="0" collapsed="false">
      <c r="A41" s="49" t="s">
        <v>88</v>
      </c>
      <c r="B41" s="39" t="s">
        <v>124</v>
      </c>
      <c r="C41" s="39"/>
      <c r="D41" s="39"/>
      <c r="E41" s="39"/>
      <c r="F41" s="39"/>
    </row>
    <row r="42" customFormat="false" ht="15" hidden="false" customHeight="true" outlineLevel="0" collapsed="false">
      <c r="A42" s="49" t="s">
        <v>89</v>
      </c>
      <c r="B42" s="39" t="s">
        <v>125</v>
      </c>
      <c r="C42" s="39"/>
      <c r="D42" s="39"/>
      <c r="E42" s="39"/>
      <c r="F42" s="39"/>
    </row>
    <row r="43" customFormat="false" ht="18" hidden="false" customHeight="true" outlineLevel="0" collapsed="false">
      <c r="A43" s="49" t="s">
        <v>234</v>
      </c>
      <c r="B43" s="39" t="s">
        <v>262</v>
      </c>
      <c r="C43" s="52"/>
      <c r="D43" s="52"/>
      <c r="E43" s="52"/>
      <c r="F43" s="53"/>
    </row>
    <row r="44" customFormat="false" ht="18" hidden="false" customHeight="true" outlineLevel="0" collapsed="false">
      <c r="A44" s="49" t="s">
        <v>236</v>
      </c>
      <c r="B44" s="39" t="s">
        <v>263</v>
      </c>
      <c r="C44" s="39"/>
      <c r="D44" s="39"/>
      <c r="E44" s="39"/>
      <c r="F44" s="39"/>
    </row>
    <row r="45" customFormat="false" ht="18" hidden="false" customHeight="true" outlineLevel="0" collapsed="false">
      <c r="A45" s="50" t="s">
        <v>95</v>
      </c>
      <c r="B45" s="51" t="s">
        <v>264</v>
      </c>
      <c r="C45" s="51"/>
      <c r="D45" s="51"/>
      <c r="E45" s="51"/>
      <c r="F45" s="51"/>
    </row>
    <row r="46" customFormat="false" ht="33" hidden="false" customHeight="true" outlineLevel="0" collapsed="false">
      <c r="A46" s="50" t="s">
        <v>239</v>
      </c>
      <c r="B46" s="51" t="s">
        <v>265</v>
      </c>
      <c r="C46" s="51"/>
      <c r="D46" s="51"/>
      <c r="E46" s="51"/>
      <c r="F46" s="51"/>
    </row>
    <row r="47" customFormat="false" ht="18" hidden="false" customHeight="true" outlineLevel="0" collapsed="false">
      <c r="A47" s="49" t="s">
        <v>90</v>
      </c>
      <c r="B47" s="39" t="s">
        <v>126</v>
      </c>
      <c r="C47" s="39"/>
      <c r="D47" s="39"/>
      <c r="E47" s="39"/>
      <c r="F47" s="39"/>
    </row>
    <row r="48" customFormat="false" ht="15" hidden="false" customHeight="true" outlineLevel="0" collapsed="false">
      <c r="A48" s="49" t="s">
        <v>241</v>
      </c>
      <c r="B48" s="42" t="s">
        <v>266</v>
      </c>
      <c r="C48" s="52"/>
      <c r="D48" s="52"/>
      <c r="E48" s="52"/>
      <c r="F48" s="53"/>
    </row>
    <row r="49" customFormat="false" ht="21.75" hidden="false" customHeight="true" outlineLevel="0" collapsed="false">
      <c r="A49" s="49" t="s">
        <v>243</v>
      </c>
      <c r="B49" s="49"/>
      <c r="C49" s="49"/>
      <c r="D49" s="49"/>
      <c r="E49" s="49"/>
      <c r="F49" s="49"/>
    </row>
    <row r="50" customFormat="false" ht="18" hidden="false" customHeight="true" outlineLevel="0" collapsed="false">
      <c r="A50" s="49" t="s">
        <v>267</v>
      </c>
      <c r="B50" s="49"/>
      <c r="C50" s="49"/>
      <c r="D50" s="49"/>
      <c r="E50" s="49"/>
      <c r="F50" s="49"/>
    </row>
    <row r="51" customFormat="false" ht="18" hidden="false" customHeight="true" outlineLevel="0" collapsed="false">
      <c r="A51" s="49" t="s">
        <v>268</v>
      </c>
      <c r="B51" s="42" t="s">
        <v>269</v>
      </c>
      <c r="C51" s="42"/>
      <c r="D51" s="42"/>
      <c r="E51" s="42"/>
      <c r="F51" s="42"/>
    </row>
    <row r="52" customFormat="false" ht="18" hidden="false" customHeight="true" outlineLevel="0" collapsed="false">
      <c r="A52" s="49" t="s">
        <v>248</v>
      </c>
      <c r="B52" s="38" t="s">
        <v>270</v>
      </c>
      <c r="C52" s="38"/>
      <c r="D52" s="38"/>
      <c r="E52" s="38"/>
      <c r="F52" s="38"/>
    </row>
    <row r="53" customFormat="false" ht="33" hidden="false" customHeight="true" outlineLevel="0" collapsed="false">
      <c r="A53" s="49" t="s">
        <v>250</v>
      </c>
      <c r="B53" s="38" t="s">
        <v>271</v>
      </c>
      <c r="C53" s="38"/>
      <c r="D53" s="38"/>
      <c r="E53" s="38"/>
      <c r="F53" s="38"/>
    </row>
    <row r="54" customFormat="false" ht="18" hidden="false" customHeight="true" outlineLevel="0" collapsed="false">
      <c r="B54" s="54"/>
      <c r="C54" s="54"/>
      <c r="D54" s="54"/>
      <c r="E54" s="54"/>
      <c r="F54" s="54"/>
    </row>
    <row r="55" customFormat="false" ht="33" hidden="false" customHeight="true" outlineLevel="0" collapsed="false">
      <c r="A55" s="55" t="s">
        <v>272</v>
      </c>
      <c r="B55" s="54"/>
      <c r="C55" s="54"/>
      <c r="D55" s="54"/>
      <c r="E55" s="54"/>
      <c r="F55" s="54"/>
    </row>
    <row r="56" customFormat="false" ht="15" hidden="false" customHeight="true" outlineLevel="0" collapsed="false">
      <c r="A56" s="57" t="s">
        <v>273</v>
      </c>
      <c r="B56" s="53"/>
      <c r="C56" s="53"/>
      <c r="D56" s="53"/>
      <c r="E56" s="53"/>
      <c r="F56" s="53"/>
    </row>
    <row r="57" customFormat="false" ht="15" hidden="false" customHeight="true" outlineLevel="0" collapsed="false">
      <c r="A57" s="49" t="s">
        <v>233</v>
      </c>
      <c r="B57" s="39" t="s">
        <v>135</v>
      </c>
      <c r="C57" s="39"/>
      <c r="D57" s="39"/>
      <c r="E57" s="39"/>
      <c r="F57" s="39"/>
    </row>
    <row r="58" customFormat="false" ht="18" hidden="false" customHeight="true" outlineLevel="0" collapsed="false">
      <c r="A58" s="49" t="s">
        <v>88</v>
      </c>
      <c r="B58" s="39" t="s">
        <v>136</v>
      </c>
      <c r="C58" s="52"/>
      <c r="D58" s="52"/>
      <c r="E58" s="52"/>
      <c r="F58" s="53"/>
    </row>
    <row r="59" customFormat="false" ht="18" hidden="false" customHeight="true" outlineLevel="0" collapsed="false">
      <c r="A59" s="49" t="s">
        <v>89</v>
      </c>
      <c r="B59" s="39" t="s">
        <v>137</v>
      </c>
      <c r="C59" s="39"/>
      <c r="D59" s="39"/>
      <c r="E59" s="39"/>
      <c r="F59" s="39"/>
    </row>
    <row r="60" customFormat="false" ht="33" hidden="false" customHeight="true" outlineLevel="0" collapsed="false">
      <c r="A60" s="49" t="s">
        <v>234</v>
      </c>
      <c r="B60" s="39" t="s">
        <v>274</v>
      </c>
      <c r="C60" s="39"/>
      <c r="D60" s="39"/>
      <c r="E60" s="39"/>
      <c r="F60" s="39"/>
    </row>
    <row r="61" customFormat="false" ht="18" hidden="false" customHeight="true" outlineLevel="0" collapsed="false">
      <c r="A61" s="49" t="s">
        <v>236</v>
      </c>
      <c r="B61" s="39" t="s">
        <v>275</v>
      </c>
      <c r="C61" s="39"/>
      <c r="D61" s="39"/>
      <c r="E61" s="39"/>
      <c r="F61" s="39"/>
    </row>
    <row r="62" customFormat="false" ht="32.25" hidden="false" customHeight="true" outlineLevel="0" collapsed="false">
      <c r="A62" s="50" t="s">
        <v>95</v>
      </c>
      <c r="B62" s="56" t="s">
        <v>276</v>
      </c>
    </row>
    <row r="63" customFormat="false" ht="21.75" hidden="false" customHeight="true" outlineLevel="0" collapsed="false">
      <c r="A63" s="58" t="s">
        <v>239</v>
      </c>
      <c r="B63" s="58"/>
      <c r="C63" s="58"/>
      <c r="D63" s="58"/>
      <c r="E63" s="58"/>
      <c r="F63" s="58"/>
    </row>
    <row r="64" customFormat="false" ht="18" hidden="false" customHeight="true" outlineLevel="0" collapsed="false">
      <c r="A64" s="49" t="s">
        <v>90</v>
      </c>
      <c r="B64" s="49"/>
      <c r="C64" s="49"/>
      <c r="D64" s="49"/>
      <c r="E64" s="49"/>
      <c r="F64" s="49"/>
    </row>
    <row r="65" customFormat="false" ht="18" hidden="false" customHeight="true" outlineLevel="0" collapsed="false">
      <c r="A65" s="49" t="s">
        <v>241</v>
      </c>
      <c r="B65" s="42" t="s">
        <v>277</v>
      </c>
      <c r="C65" s="42"/>
      <c r="D65" s="42"/>
      <c r="E65" s="42"/>
      <c r="F65" s="42"/>
    </row>
    <row r="66" customFormat="false" ht="18" hidden="false" customHeight="true" outlineLevel="0" collapsed="false">
      <c r="A66" s="49" t="s">
        <v>243</v>
      </c>
      <c r="B66" s="42" t="s">
        <v>278</v>
      </c>
      <c r="C66" s="42"/>
      <c r="D66" s="42"/>
      <c r="E66" s="42"/>
      <c r="F66" s="42"/>
    </row>
    <row r="67" customFormat="false" ht="33" hidden="false" customHeight="true" outlineLevel="0" collapsed="false">
      <c r="A67" s="49" t="s">
        <v>267</v>
      </c>
      <c r="B67" s="38" t="s">
        <v>140</v>
      </c>
      <c r="C67" s="38"/>
      <c r="D67" s="38"/>
      <c r="E67" s="38"/>
      <c r="F67" s="38"/>
    </row>
    <row r="68" customFormat="false" ht="18" hidden="false" customHeight="true" outlineLevel="0" collapsed="false">
      <c r="A68" s="49" t="s">
        <v>248</v>
      </c>
      <c r="B68" s="38" t="s">
        <v>279</v>
      </c>
      <c r="C68" s="38"/>
      <c r="D68" s="38"/>
      <c r="E68" s="38"/>
      <c r="F68" s="38"/>
    </row>
    <row r="69" customFormat="false" ht="33" hidden="false" customHeight="true" outlineLevel="0" collapsed="false">
      <c r="A69" s="49" t="s">
        <v>250</v>
      </c>
      <c r="B69" s="38" t="s">
        <v>280</v>
      </c>
      <c r="C69" s="38"/>
      <c r="D69" s="38"/>
      <c r="E69" s="38"/>
      <c r="F69" s="38"/>
    </row>
    <row r="70" customFormat="false" ht="15" hidden="false" customHeight="true" outlineLevel="0" collapsed="false">
      <c r="B70" s="54"/>
      <c r="C70" s="54"/>
      <c r="D70" s="54"/>
      <c r="E70" s="54"/>
      <c r="F70" s="54"/>
    </row>
    <row r="71" customFormat="false" ht="15" hidden="false" customHeight="true" outlineLevel="0" collapsed="false">
      <c r="A71" s="55" t="s">
        <v>281</v>
      </c>
      <c r="B71" s="54"/>
      <c r="C71" s="54"/>
      <c r="D71" s="54"/>
      <c r="E71" s="54"/>
      <c r="F71" s="54"/>
    </row>
    <row r="72" customFormat="false" ht="18" hidden="false" customHeight="true" outlineLevel="0" collapsed="false">
      <c r="A72" s="59" t="s">
        <v>282</v>
      </c>
      <c r="B72" s="52"/>
      <c r="C72" s="52"/>
      <c r="D72" s="52"/>
      <c r="E72" s="52"/>
      <c r="F72" s="53"/>
    </row>
    <row r="73" customFormat="false" ht="18" hidden="false" customHeight="true" outlineLevel="0" collapsed="false">
      <c r="A73" s="49" t="s">
        <v>233</v>
      </c>
      <c r="B73" s="39" t="s">
        <v>145</v>
      </c>
      <c r="C73" s="39"/>
      <c r="D73" s="39"/>
      <c r="E73" s="39"/>
      <c r="F73" s="39"/>
    </row>
    <row r="74" customFormat="false" ht="33" hidden="false" customHeight="true" outlineLevel="0" collapsed="false">
      <c r="A74" s="49" t="s">
        <v>88</v>
      </c>
      <c r="B74" s="39" t="s">
        <v>146</v>
      </c>
      <c r="C74" s="39"/>
      <c r="D74" s="39"/>
      <c r="E74" s="39"/>
      <c r="F74" s="39"/>
    </row>
    <row r="75" customFormat="false" ht="63.75" hidden="false" customHeight="true" outlineLevel="0" collapsed="false">
      <c r="A75" s="49" t="s">
        <v>89</v>
      </c>
      <c r="B75" s="39" t="s">
        <v>147</v>
      </c>
      <c r="C75" s="52"/>
      <c r="D75" s="52"/>
      <c r="E75" s="52"/>
      <c r="F75" s="53"/>
    </row>
    <row r="76" customFormat="false" ht="21.75" hidden="false" customHeight="true" outlineLevel="0" collapsed="false">
      <c r="A76" s="49" t="s">
        <v>234</v>
      </c>
      <c r="B76" s="49"/>
      <c r="C76" s="49"/>
      <c r="D76" s="49"/>
      <c r="E76" s="49"/>
      <c r="F76" s="49"/>
    </row>
    <row r="77" customFormat="false" ht="18" hidden="false" customHeight="true" outlineLevel="0" collapsed="false">
      <c r="A77" s="49" t="s">
        <v>236</v>
      </c>
      <c r="B77" s="49"/>
      <c r="C77" s="49"/>
      <c r="D77" s="49"/>
      <c r="E77" s="49"/>
      <c r="F77" s="49"/>
    </row>
    <row r="78" customFormat="false" ht="18" hidden="false" customHeight="true" outlineLevel="0" collapsed="false">
      <c r="A78" s="50" t="s">
        <v>95</v>
      </c>
      <c r="B78" s="51" t="s">
        <v>283</v>
      </c>
      <c r="C78" s="51"/>
      <c r="D78" s="51"/>
      <c r="E78" s="51"/>
      <c r="F78" s="51"/>
    </row>
    <row r="79" customFormat="false" ht="18" hidden="false" customHeight="true" outlineLevel="0" collapsed="false">
      <c r="A79" s="50" t="s">
        <v>239</v>
      </c>
      <c r="B79" s="51" t="s">
        <v>284</v>
      </c>
      <c r="C79" s="51"/>
      <c r="D79" s="51"/>
      <c r="E79" s="51"/>
      <c r="F79" s="51"/>
    </row>
    <row r="80" customFormat="false" ht="33" hidden="false" customHeight="true" outlineLevel="0" collapsed="false">
      <c r="A80" s="49" t="s">
        <v>90</v>
      </c>
      <c r="B80" s="39" t="s">
        <v>148</v>
      </c>
      <c r="C80" s="39"/>
      <c r="D80" s="39"/>
      <c r="E80" s="39"/>
      <c r="F80" s="39"/>
    </row>
    <row r="81" customFormat="false" ht="18" hidden="false" customHeight="true" outlineLevel="0" collapsed="false">
      <c r="A81" s="49" t="s">
        <v>241</v>
      </c>
      <c r="B81" s="42" t="s">
        <v>285</v>
      </c>
      <c r="C81" s="42"/>
      <c r="D81" s="42"/>
      <c r="E81" s="42"/>
      <c r="F81" s="42"/>
    </row>
    <row r="82" customFormat="false" ht="33" hidden="false" customHeight="true" outlineLevel="0" collapsed="false">
      <c r="A82" s="49" t="s">
        <v>243</v>
      </c>
      <c r="B82" s="42" t="s">
        <v>286</v>
      </c>
      <c r="C82" s="42"/>
      <c r="D82" s="42"/>
      <c r="E82" s="42"/>
      <c r="F82" s="42"/>
    </row>
    <row r="83" customFormat="false" ht="15" hidden="false" customHeight="true" outlineLevel="0" collapsed="false">
      <c r="A83" s="49" t="s">
        <v>287</v>
      </c>
      <c r="B83" s="42" t="s">
        <v>150</v>
      </c>
      <c r="C83" s="42"/>
      <c r="D83" s="42"/>
      <c r="E83" s="42"/>
      <c r="F83" s="42"/>
    </row>
    <row r="84" customFormat="false" ht="15" hidden="false" customHeight="true" outlineLevel="0" collapsed="false">
      <c r="A84" s="49" t="s">
        <v>250</v>
      </c>
      <c r="B84" s="38" t="s">
        <v>288</v>
      </c>
      <c r="C84" s="38"/>
      <c r="D84" s="38"/>
      <c r="E84" s="38"/>
      <c r="F84" s="38"/>
    </row>
    <row r="85" customFormat="false" ht="18" hidden="false" customHeight="true" outlineLevel="0" collapsed="false"/>
    <row r="86" customFormat="false" ht="18" hidden="false" customHeight="true" outlineLevel="0" collapsed="false">
      <c r="A86" s="55" t="s">
        <v>289</v>
      </c>
      <c r="B86" s="54"/>
      <c r="C86" s="54"/>
      <c r="D86" s="54"/>
      <c r="E86" s="54"/>
      <c r="F86" s="54"/>
    </row>
    <row r="87" customFormat="false" ht="18" hidden="false" customHeight="true" outlineLevel="0" collapsed="false">
      <c r="A87" s="57" t="s">
        <v>290</v>
      </c>
      <c r="B87" s="53"/>
      <c r="C87" s="53"/>
      <c r="D87" s="53"/>
      <c r="E87" s="53"/>
      <c r="F87" s="53"/>
    </row>
    <row r="88" customFormat="false" ht="33" hidden="false" customHeight="true" outlineLevel="0" collapsed="false">
      <c r="A88" s="49" t="s">
        <v>233</v>
      </c>
      <c r="B88" s="39" t="s">
        <v>157</v>
      </c>
      <c r="C88" s="39"/>
      <c r="D88" s="39"/>
      <c r="E88" s="39"/>
      <c r="F88" s="39"/>
    </row>
    <row r="89" customFormat="false" ht="18" hidden="false" customHeight="true" outlineLevel="0" collapsed="false">
      <c r="A89" s="49" t="s">
        <v>88</v>
      </c>
      <c r="B89" s="39" t="s">
        <v>158</v>
      </c>
      <c r="C89" s="39"/>
      <c r="D89" s="39"/>
      <c r="E89" s="39"/>
      <c r="F89" s="39"/>
    </row>
    <row r="90" customFormat="false" ht="42.75" hidden="false" customHeight="true" outlineLevel="0" collapsed="false">
      <c r="A90" s="49" t="s">
        <v>89</v>
      </c>
      <c r="B90" s="39" t="s">
        <v>159</v>
      </c>
      <c r="C90" s="52"/>
      <c r="D90" s="52"/>
      <c r="E90" s="52"/>
      <c r="F90" s="53"/>
    </row>
    <row r="91" customFormat="false" ht="21.75" hidden="false" customHeight="true" outlineLevel="0" collapsed="false">
      <c r="A91" s="49" t="s">
        <v>234</v>
      </c>
      <c r="B91" s="49"/>
      <c r="C91" s="49"/>
      <c r="D91" s="49"/>
      <c r="E91" s="49"/>
      <c r="F91" s="49"/>
    </row>
    <row r="92" customFormat="false" ht="18" hidden="false" customHeight="true" outlineLevel="0" collapsed="false">
      <c r="A92" s="49" t="s">
        <v>236</v>
      </c>
      <c r="B92" s="49"/>
      <c r="C92" s="49"/>
      <c r="D92" s="49"/>
      <c r="E92" s="49"/>
      <c r="F92" s="49"/>
    </row>
    <row r="93" customFormat="false" ht="18" hidden="false" customHeight="true" outlineLevel="0" collapsed="false">
      <c r="A93" s="50" t="s">
        <v>95</v>
      </c>
      <c r="B93" s="51" t="s">
        <v>291</v>
      </c>
      <c r="C93" s="51"/>
      <c r="D93" s="51"/>
      <c r="E93" s="51"/>
      <c r="F93" s="51"/>
    </row>
    <row r="94" customFormat="false" ht="18" hidden="false" customHeight="true" outlineLevel="0" collapsed="false">
      <c r="A94" s="50" t="s">
        <v>239</v>
      </c>
      <c r="B94" s="51" t="s">
        <v>292</v>
      </c>
      <c r="C94" s="51"/>
      <c r="D94" s="51"/>
      <c r="E94" s="51"/>
      <c r="F94" s="51"/>
    </row>
    <row r="95" customFormat="false" ht="33" hidden="false" customHeight="true" outlineLevel="0" collapsed="false">
      <c r="A95" s="49" t="s">
        <v>90</v>
      </c>
      <c r="B95" s="39" t="s">
        <v>160</v>
      </c>
      <c r="C95" s="39"/>
      <c r="D95" s="39"/>
      <c r="E95" s="39"/>
      <c r="F95" s="39"/>
    </row>
    <row r="96" customFormat="false" ht="18" hidden="false" customHeight="true" outlineLevel="0" collapsed="false">
      <c r="A96" s="49" t="s">
        <v>241</v>
      </c>
      <c r="B96" s="42" t="s">
        <v>293</v>
      </c>
      <c r="C96" s="42"/>
      <c r="D96" s="42"/>
      <c r="E96" s="42"/>
      <c r="F96" s="42"/>
    </row>
    <row r="97" customFormat="false" ht="18" hidden="false" customHeight="true" outlineLevel="0" collapsed="false">
      <c r="A97" s="49" t="s">
        <v>243</v>
      </c>
      <c r="B97" s="42" t="s">
        <v>294</v>
      </c>
      <c r="C97" s="42"/>
      <c r="D97" s="42"/>
      <c r="E97" s="42"/>
      <c r="F97" s="42"/>
    </row>
    <row r="98" customFormat="false" ht="15" hidden="false" customHeight="true" outlineLevel="0" collapsed="false">
      <c r="A98" s="49" t="s">
        <v>245</v>
      </c>
      <c r="B98" s="42" t="s">
        <v>108</v>
      </c>
      <c r="C98" s="42"/>
      <c r="D98" s="42"/>
      <c r="E98" s="42"/>
      <c r="F98" s="42"/>
    </row>
    <row r="99" customFormat="false" ht="15" hidden="false" customHeight="true" outlineLevel="0" collapsed="false">
      <c r="A99" s="49" t="s">
        <v>246</v>
      </c>
      <c r="B99" s="42" t="s">
        <v>247</v>
      </c>
      <c r="C99" s="42"/>
      <c r="D99" s="42"/>
      <c r="E99" s="42"/>
      <c r="F99" s="42"/>
    </row>
    <row r="100" customFormat="false" ht="18" hidden="false" customHeight="true" outlineLevel="0" collapsed="false">
      <c r="A100" s="49" t="s">
        <v>248</v>
      </c>
      <c r="B100" s="38" t="s">
        <v>295</v>
      </c>
      <c r="C100" s="52"/>
      <c r="D100" s="52"/>
      <c r="E100" s="52"/>
      <c r="F100" s="53"/>
    </row>
    <row r="101" customFormat="false" ht="18" hidden="false" customHeight="true" outlineLevel="0" collapsed="false">
      <c r="A101" s="49" t="s">
        <v>250</v>
      </c>
      <c r="B101" s="38" t="s">
        <v>280</v>
      </c>
      <c r="C101" s="38"/>
      <c r="D101" s="38"/>
      <c r="E101" s="38"/>
      <c r="F101" s="38"/>
    </row>
    <row r="102" customFormat="false" ht="18" hidden="false" customHeight="true" outlineLevel="0" collapsed="false">
      <c r="B102" s="54"/>
      <c r="C102" s="54"/>
      <c r="D102" s="54"/>
      <c r="E102" s="54"/>
      <c r="F102" s="54"/>
    </row>
    <row r="103" customFormat="false" ht="33" hidden="false" customHeight="true" outlineLevel="0" collapsed="false">
      <c r="A103" s="55" t="s">
        <v>296</v>
      </c>
      <c r="B103" s="54"/>
      <c r="C103" s="54"/>
      <c r="D103" s="54"/>
      <c r="E103" s="54"/>
      <c r="F103" s="54"/>
    </row>
    <row r="104" customFormat="false" ht="18" hidden="false" customHeight="true" outlineLevel="0" collapsed="false">
      <c r="A104" s="59" t="s">
        <v>297</v>
      </c>
      <c r="B104" s="53"/>
      <c r="C104" s="53"/>
      <c r="D104" s="53"/>
      <c r="E104" s="53"/>
      <c r="F104" s="53"/>
    </row>
    <row r="105" customFormat="false" ht="15" hidden="false" customHeight="true" outlineLevel="0" collapsed="false">
      <c r="A105" s="49" t="s">
        <v>233</v>
      </c>
      <c r="B105" s="39" t="s">
        <v>165</v>
      </c>
      <c r="C105" s="52"/>
      <c r="D105" s="52"/>
      <c r="E105" s="52"/>
      <c r="F105" s="53"/>
    </row>
    <row r="106" customFormat="false" ht="21.75" hidden="false" customHeight="true" outlineLevel="0" collapsed="false">
      <c r="A106" s="49" t="s">
        <v>88</v>
      </c>
      <c r="B106" s="49"/>
      <c r="C106" s="49"/>
      <c r="D106" s="49"/>
      <c r="E106" s="49"/>
      <c r="F106" s="49"/>
    </row>
    <row r="107" customFormat="false" ht="18" hidden="false" customHeight="true" outlineLevel="0" collapsed="false">
      <c r="A107" s="49" t="s">
        <v>89</v>
      </c>
      <c r="B107" s="49"/>
      <c r="C107" s="49"/>
      <c r="D107" s="49"/>
      <c r="E107" s="49"/>
      <c r="F107" s="49"/>
    </row>
    <row r="108" customFormat="false" ht="18" hidden="false" customHeight="true" outlineLevel="0" collapsed="false">
      <c r="A108" s="49" t="s">
        <v>234</v>
      </c>
      <c r="B108" s="39" t="s">
        <v>298</v>
      </c>
      <c r="C108" s="39"/>
      <c r="D108" s="39"/>
      <c r="E108" s="39"/>
      <c r="F108" s="39"/>
    </row>
    <row r="109" customFormat="false" ht="18" hidden="false" customHeight="true" outlineLevel="0" collapsed="false">
      <c r="A109" s="49" t="s">
        <v>236</v>
      </c>
      <c r="B109" s="39" t="s">
        <v>299</v>
      </c>
      <c r="C109" s="39"/>
      <c r="D109" s="39"/>
      <c r="E109" s="39"/>
      <c r="F109" s="39"/>
    </row>
    <row r="110" customFormat="false" ht="33" hidden="false" customHeight="true" outlineLevel="0" collapsed="false">
      <c r="A110" s="50" t="s">
        <v>95</v>
      </c>
      <c r="B110" s="51" t="s">
        <v>300</v>
      </c>
      <c r="C110" s="51"/>
      <c r="D110" s="51"/>
      <c r="E110" s="51"/>
      <c r="F110" s="51"/>
    </row>
    <row r="111" customFormat="false" ht="18" hidden="false" customHeight="true" outlineLevel="0" collapsed="false">
      <c r="A111" s="50" t="s">
        <v>239</v>
      </c>
      <c r="B111" s="51" t="s">
        <v>301</v>
      </c>
      <c r="C111" s="51"/>
      <c r="D111" s="51"/>
      <c r="E111" s="51"/>
      <c r="F111" s="51"/>
    </row>
    <row r="112" customFormat="false" ht="18" hidden="false" customHeight="true" outlineLevel="0" collapsed="false">
      <c r="A112" s="49" t="s">
        <v>90</v>
      </c>
      <c r="B112" s="39" t="s">
        <v>168</v>
      </c>
      <c r="C112" s="39"/>
      <c r="D112" s="39"/>
      <c r="E112" s="39"/>
      <c r="F112" s="39"/>
    </row>
    <row r="113" customFormat="false" ht="15" hidden="false" customHeight="true" outlineLevel="0" collapsed="false">
      <c r="A113" s="49" t="s">
        <v>241</v>
      </c>
      <c r="B113" s="42" t="s">
        <v>302</v>
      </c>
      <c r="C113" s="42"/>
      <c r="D113" s="42"/>
      <c r="E113" s="42"/>
      <c r="F113" s="42"/>
    </row>
    <row r="114" customFormat="false" ht="15" hidden="false" customHeight="true" outlineLevel="0" collapsed="false">
      <c r="A114" s="49" t="s">
        <v>243</v>
      </c>
      <c r="B114" s="42" t="s">
        <v>303</v>
      </c>
      <c r="C114" s="42"/>
      <c r="D114" s="42"/>
      <c r="E114" s="42"/>
      <c r="F114" s="42"/>
    </row>
    <row r="115" customFormat="false" ht="18" hidden="false" customHeight="true" outlineLevel="0" collapsed="false">
      <c r="A115" s="49" t="s">
        <v>245</v>
      </c>
      <c r="B115" s="42" t="s">
        <v>108</v>
      </c>
      <c r="C115" s="52"/>
      <c r="D115" s="52"/>
      <c r="E115" s="52"/>
      <c r="F115" s="53"/>
    </row>
    <row r="116" customFormat="false" ht="18" hidden="false" customHeight="true" outlineLevel="0" collapsed="false">
      <c r="A116" s="49" t="s">
        <v>246</v>
      </c>
      <c r="B116" s="42" t="s">
        <v>247</v>
      </c>
      <c r="C116" s="42"/>
      <c r="D116" s="42"/>
      <c r="E116" s="42"/>
      <c r="F116" s="42"/>
    </row>
    <row r="117" customFormat="false" ht="18" hidden="false" customHeight="true" outlineLevel="0" collapsed="false">
      <c r="A117" s="49" t="s">
        <v>248</v>
      </c>
      <c r="B117" s="38" t="s">
        <v>304</v>
      </c>
      <c r="C117" s="38"/>
      <c r="D117" s="38"/>
      <c r="E117" s="38"/>
      <c r="F117" s="38"/>
    </row>
    <row r="118" customFormat="false" ht="15" hidden="false" customHeight="true" outlineLevel="0" collapsed="false">
      <c r="A118" s="49" t="s">
        <v>250</v>
      </c>
      <c r="B118" s="38" t="s">
        <v>280</v>
      </c>
      <c r="C118" s="52"/>
      <c r="D118" s="52"/>
      <c r="E118" s="52"/>
      <c r="F118" s="53"/>
    </row>
    <row r="119" customFormat="false" ht="21.75" hidden="false" customHeight="true" outlineLevel="0" collapsed="false">
      <c r="A119" s="54"/>
      <c r="B119" s="54"/>
      <c r="C119" s="54"/>
      <c r="D119" s="54"/>
      <c r="E119" s="54"/>
      <c r="F119" s="54"/>
    </row>
    <row r="120" customFormat="false" ht="18" hidden="false" customHeight="true" outlineLevel="0" collapsed="false">
      <c r="A120" s="47" t="s">
        <v>305</v>
      </c>
      <c r="B120" s="47"/>
      <c r="C120" s="47"/>
      <c r="D120" s="47"/>
      <c r="E120" s="47"/>
      <c r="F120" s="47"/>
    </row>
    <row r="121" customFormat="false" ht="18" hidden="false" customHeight="true" outlineLevel="0" collapsed="false">
      <c r="A121" s="59" t="s">
        <v>306</v>
      </c>
      <c r="B121" s="53"/>
      <c r="C121" s="53"/>
      <c r="D121" s="53"/>
      <c r="E121" s="53"/>
      <c r="F121" s="53"/>
    </row>
    <row r="122" customFormat="false" ht="18" hidden="false" customHeight="true" outlineLevel="0" collapsed="false">
      <c r="A122" s="49" t="s">
        <v>233</v>
      </c>
      <c r="B122" s="39" t="s">
        <v>174</v>
      </c>
      <c r="C122" s="39"/>
      <c r="D122" s="39"/>
      <c r="E122" s="39"/>
      <c r="F122" s="39"/>
    </row>
    <row r="123" customFormat="false" ht="33" hidden="false" customHeight="true" outlineLevel="0" collapsed="false">
      <c r="A123" s="49" t="s">
        <v>88</v>
      </c>
      <c r="B123" s="39" t="s">
        <v>175</v>
      </c>
      <c r="C123" s="39"/>
      <c r="D123" s="39"/>
      <c r="E123" s="39"/>
      <c r="F123" s="39"/>
    </row>
    <row r="124" customFormat="false" ht="18" hidden="false" customHeight="true" outlineLevel="0" collapsed="false">
      <c r="A124" s="49" t="s">
        <v>89</v>
      </c>
      <c r="B124" s="39" t="s">
        <v>176</v>
      </c>
      <c r="C124" s="39"/>
      <c r="D124" s="39"/>
      <c r="E124" s="39"/>
      <c r="F124" s="39"/>
    </row>
    <row r="125" customFormat="false" ht="18" hidden="false" customHeight="true" outlineLevel="0" collapsed="false">
      <c r="A125" s="49" t="s">
        <v>234</v>
      </c>
      <c r="B125" s="39" t="s">
        <v>307</v>
      </c>
      <c r="C125" s="39"/>
      <c r="D125" s="39"/>
      <c r="E125" s="39"/>
      <c r="F125" s="39"/>
    </row>
    <row r="126" customFormat="false" ht="15" hidden="false" customHeight="true" outlineLevel="0" collapsed="false">
      <c r="A126" s="49" t="s">
        <v>236</v>
      </c>
      <c r="B126" s="39" t="s">
        <v>308</v>
      </c>
      <c r="C126" s="39"/>
      <c r="D126" s="39"/>
      <c r="E126" s="39"/>
      <c r="F126" s="39"/>
    </row>
    <row r="127" customFormat="false" ht="15" hidden="false" customHeight="true" outlineLevel="0" collapsed="false">
      <c r="A127" s="50" t="s">
        <v>95</v>
      </c>
      <c r="B127" s="51" t="s">
        <v>309</v>
      </c>
      <c r="C127" s="51"/>
      <c r="D127" s="51"/>
      <c r="E127" s="51"/>
      <c r="F127" s="51"/>
    </row>
    <row r="128" customFormat="false" ht="18" hidden="false" customHeight="true" outlineLevel="0" collapsed="false">
      <c r="A128" s="50" t="s">
        <v>239</v>
      </c>
      <c r="B128" s="56" t="s">
        <v>284</v>
      </c>
    </row>
    <row r="129" customFormat="false" ht="18" hidden="false" customHeight="true" outlineLevel="0" collapsed="false">
      <c r="A129" s="49" t="s">
        <v>90</v>
      </c>
      <c r="B129" s="39" t="s">
        <v>177</v>
      </c>
      <c r="C129" s="39"/>
      <c r="D129" s="39"/>
      <c r="E129" s="39"/>
      <c r="F129" s="39"/>
    </row>
    <row r="130" customFormat="false" ht="18" hidden="false" customHeight="true" outlineLevel="0" collapsed="false">
      <c r="A130" s="49" t="s">
        <v>241</v>
      </c>
      <c r="B130" s="42" t="s">
        <v>310</v>
      </c>
      <c r="C130" s="42"/>
      <c r="D130" s="42"/>
      <c r="E130" s="42"/>
      <c r="F130" s="42"/>
    </row>
    <row r="131" customFormat="false" ht="15" hidden="false" customHeight="true" outlineLevel="0" collapsed="false">
      <c r="A131" s="49" t="s">
        <v>243</v>
      </c>
      <c r="B131" s="42" t="s">
        <v>311</v>
      </c>
      <c r="C131" s="42" t="s">
        <v>312</v>
      </c>
      <c r="D131" s="42" t="s">
        <v>313</v>
      </c>
      <c r="E131" s="60"/>
      <c r="F131" s="60"/>
    </row>
    <row r="132" customFormat="false" ht="21.75" hidden="false" customHeight="true" outlineLevel="0" collapsed="false">
      <c r="A132" s="49" t="s">
        <v>287</v>
      </c>
      <c r="B132" s="49"/>
      <c r="C132" s="49"/>
      <c r="D132" s="49"/>
      <c r="E132" s="49"/>
      <c r="F132" s="49"/>
    </row>
    <row r="133" customFormat="false" ht="18" hidden="false" customHeight="true" outlineLevel="0" collapsed="false">
      <c r="A133" s="49" t="s">
        <v>250</v>
      </c>
      <c r="B133" s="49"/>
      <c r="C133" s="49"/>
      <c r="D133" s="49"/>
      <c r="E133" s="49"/>
      <c r="F133" s="49"/>
    </row>
    <row r="134" customFormat="false" ht="18" hidden="false" customHeight="true" outlineLevel="0" collapsed="false">
      <c r="B134" s="54"/>
      <c r="C134" s="54"/>
      <c r="D134" s="54"/>
      <c r="E134" s="54"/>
      <c r="F134" s="54"/>
    </row>
    <row r="135" customFormat="false" ht="18" hidden="false" customHeight="true" outlineLevel="0" collapsed="false">
      <c r="A135" s="55" t="s">
        <v>314</v>
      </c>
      <c r="B135" s="54"/>
      <c r="C135" s="54"/>
      <c r="D135" s="54"/>
      <c r="E135" s="54"/>
      <c r="F135" s="54"/>
    </row>
    <row r="136" customFormat="false" ht="33" hidden="false" customHeight="true" outlineLevel="0" collapsed="false">
      <c r="A136" s="59" t="s">
        <v>315</v>
      </c>
      <c r="B136" s="53"/>
      <c r="C136" s="53"/>
      <c r="D136" s="53"/>
      <c r="E136" s="53"/>
      <c r="F136" s="53"/>
    </row>
    <row r="137" customFormat="false" ht="18" hidden="false" customHeight="true" outlineLevel="0" collapsed="false">
      <c r="A137" s="49" t="s">
        <v>233</v>
      </c>
      <c r="B137" s="39" t="s">
        <v>182</v>
      </c>
      <c r="C137" s="39"/>
      <c r="D137" s="39"/>
      <c r="E137" s="39"/>
      <c r="F137" s="39"/>
    </row>
    <row r="138" customFormat="false" ht="33" hidden="false" customHeight="true" outlineLevel="0" collapsed="false">
      <c r="A138" s="49" t="s">
        <v>88</v>
      </c>
      <c r="B138" s="39" t="s">
        <v>183</v>
      </c>
      <c r="C138" s="39"/>
      <c r="D138" s="39"/>
      <c r="E138" s="39"/>
      <c r="F138" s="39"/>
    </row>
    <row r="139" customFormat="false" ht="15" hidden="false" customHeight="true" outlineLevel="0" collapsed="false">
      <c r="A139" s="49" t="s">
        <v>89</v>
      </c>
      <c r="B139" s="39" t="s">
        <v>184</v>
      </c>
      <c r="C139" s="39"/>
      <c r="D139" s="39"/>
      <c r="E139" s="39"/>
      <c r="F139" s="39"/>
    </row>
    <row r="140" customFormat="false" ht="15" hidden="false" customHeight="true" outlineLevel="0" collapsed="false">
      <c r="A140" s="49" t="s">
        <v>234</v>
      </c>
      <c r="B140" s="39" t="s">
        <v>316</v>
      </c>
      <c r="C140" s="39"/>
      <c r="D140" s="39"/>
      <c r="E140" s="39"/>
      <c r="F140" s="39"/>
    </row>
    <row r="141" customFormat="false" ht="18" hidden="false" customHeight="true" outlineLevel="0" collapsed="false">
      <c r="A141" s="49" t="s">
        <v>236</v>
      </c>
      <c r="B141" s="39" t="s">
        <v>317</v>
      </c>
      <c r="C141" s="52"/>
      <c r="D141" s="52"/>
      <c r="E141" s="52"/>
      <c r="F141" s="53"/>
    </row>
    <row r="142" customFormat="false" ht="18" hidden="false" customHeight="true" outlineLevel="0" collapsed="false">
      <c r="A142" s="50" t="s">
        <v>95</v>
      </c>
      <c r="B142" s="51" t="s">
        <v>318</v>
      </c>
      <c r="C142" s="51"/>
      <c r="D142" s="51"/>
      <c r="E142" s="51"/>
      <c r="F142" s="51"/>
    </row>
    <row r="143" customFormat="false" ht="18" hidden="false" customHeight="true" outlineLevel="0" collapsed="false">
      <c r="A143" s="50" t="s">
        <v>239</v>
      </c>
      <c r="B143" s="51" t="s">
        <v>319</v>
      </c>
      <c r="C143" s="51"/>
      <c r="D143" s="51"/>
      <c r="E143" s="51"/>
      <c r="F143" s="51"/>
    </row>
    <row r="144" customFormat="false" ht="33" hidden="false" customHeight="true" outlineLevel="0" collapsed="false">
      <c r="A144" s="49" t="s">
        <v>90</v>
      </c>
      <c r="B144" s="39" t="s">
        <v>185</v>
      </c>
      <c r="C144" s="39"/>
      <c r="D144" s="39"/>
      <c r="E144" s="39"/>
      <c r="F144" s="39"/>
    </row>
    <row r="145" customFormat="false" ht="18" hidden="false" customHeight="true" outlineLevel="0" collapsed="false">
      <c r="A145" s="49" t="s">
        <v>241</v>
      </c>
      <c r="B145" s="42" t="s">
        <v>320</v>
      </c>
      <c r="C145" s="42"/>
      <c r="D145" s="42"/>
      <c r="E145" s="42"/>
      <c r="F145" s="42"/>
    </row>
    <row r="146" customFormat="false" ht="15" hidden="false" customHeight="true" outlineLevel="0" collapsed="false">
      <c r="A146" s="49" t="s">
        <v>243</v>
      </c>
      <c r="B146" s="42" t="s">
        <v>321</v>
      </c>
      <c r="C146" s="42" t="s">
        <v>322</v>
      </c>
      <c r="D146" s="42" t="s">
        <v>313</v>
      </c>
      <c r="E146" s="60"/>
      <c r="F146" s="60"/>
    </row>
    <row r="147" customFormat="false" ht="21.75" hidden="false" customHeight="true" outlineLevel="0" collapsed="false">
      <c r="A147" s="49" t="s">
        <v>287</v>
      </c>
      <c r="B147" s="49"/>
      <c r="C147" s="49"/>
      <c r="D147" s="49"/>
      <c r="E147" s="49"/>
      <c r="F147" s="49"/>
    </row>
    <row r="148" customFormat="false" ht="18" hidden="false" customHeight="true" outlineLevel="0" collapsed="false">
      <c r="A148" s="49" t="s">
        <v>250</v>
      </c>
      <c r="B148" s="49"/>
      <c r="C148" s="49"/>
      <c r="D148" s="49"/>
      <c r="E148" s="49"/>
      <c r="F148" s="49"/>
    </row>
    <row r="149" customFormat="false" ht="18" hidden="false" customHeight="true" outlineLevel="0" collapsed="false">
      <c r="B149" s="54"/>
      <c r="C149" s="54"/>
      <c r="D149" s="54"/>
      <c r="E149" s="54"/>
      <c r="F149" s="54"/>
    </row>
    <row r="150" customFormat="false" ht="18" hidden="false" customHeight="true" outlineLevel="0" collapsed="false">
      <c r="A150" s="55" t="s">
        <v>323</v>
      </c>
      <c r="B150" s="54"/>
      <c r="C150" s="54"/>
      <c r="D150" s="54"/>
      <c r="E150" s="54"/>
      <c r="F150" s="54"/>
    </row>
    <row r="151" customFormat="false" ht="18" hidden="false" customHeight="true" outlineLevel="0" collapsed="false">
      <c r="A151" s="57" t="s">
        <v>324</v>
      </c>
      <c r="B151" s="53"/>
      <c r="C151" s="53"/>
      <c r="D151" s="53"/>
      <c r="E151" s="53"/>
      <c r="F151" s="53"/>
    </row>
    <row r="152" customFormat="false" ht="18" hidden="false" customHeight="true" outlineLevel="0" collapsed="false">
      <c r="A152" s="49" t="s">
        <v>233</v>
      </c>
      <c r="B152" s="39" t="s">
        <v>191</v>
      </c>
      <c r="C152" s="39"/>
      <c r="D152" s="39"/>
      <c r="E152" s="39"/>
      <c r="F152" s="39"/>
    </row>
    <row r="153" customFormat="false" ht="18" hidden="false" customHeight="true" outlineLevel="0" collapsed="false">
      <c r="A153" s="49" t="s">
        <v>88</v>
      </c>
      <c r="B153" s="39" t="s">
        <v>192</v>
      </c>
      <c r="C153" s="39"/>
      <c r="D153" s="39"/>
      <c r="E153" s="39"/>
      <c r="F153" s="39"/>
    </row>
    <row r="154" customFormat="false" ht="15" hidden="false" customHeight="true" outlineLevel="0" collapsed="false">
      <c r="A154" s="49" t="s">
        <v>89</v>
      </c>
      <c r="B154" s="39" t="s">
        <v>193</v>
      </c>
      <c r="C154" s="39"/>
      <c r="D154" s="39"/>
      <c r="E154" s="39"/>
      <c r="F154" s="39"/>
    </row>
    <row r="155" customFormat="false" ht="15" hidden="false" customHeight="true" outlineLevel="0" collapsed="false">
      <c r="A155" s="49" t="s">
        <v>234</v>
      </c>
      <c r="B155" s="39" t="s">
        <v>325</v>
      </c>
      <c r="C155" s="39"/>
      <c r="D155" s="39"/>
      <c r="E155" s="39"/>
      <c r="F155" s="39"/>
    </row>
    <row r="156" customFormat="false" ht="18" hidden="false" customHeight="true" outlineLevel="0" collapsed="false">
      <c r="A156" s="49" t="s">
        <v>236</v>
      </c>
      <c r="B156" s="39" t="s">
        <v>326</v>
      </c>
      <c r="C156" s="52"/>
      <c r="D156" s="52"/>
      <c r="E156" s="52"/>
      <c r="F156" s="53"/>
    </row>
    <row r="157" customFormat="false" ht="18" hidden="false" customHeight="true" outlineLevel="0" collapsed="false">
      <c r="A157" s="50" t="s">
        <v>95</v>
      </c>
      <c r="B157" s="51" t="s">
        <v>327</v>
      </c>
      <c r="C157" s="51"/>
      <c r="D157" s="51"/>
      <c r="E157" s="51"/>
      <c r="F157" s="51"/>
    </row>
    <row r="158" customFormat="false" ht="18" hidden="false" customHeight="true" outlineLevel="0" collapsed="false">
      <c r="A158" s="50" t="s">
        <v>239</v>
      </c>
      <c r="B158" s="51" t="s">
        <v>328</v>
      </c>
      <c r="C158" s="51"/>
      <c r="D158" s="51"/>
      <c r="E158" s="51"/>
      <c r="F158" s="51"/>
    </row>
    <row r="159" customFormat="false" ht="33" hidden="false" customHeight="true" outlineLevel="0" collapsed="false">
      <c r="A159" s="49" t="s">
        <v>90</v>
      </c>
      <c r="B159" s="39" t="s">
        <v>194</v>
      </c>
      <c r="C159" s="39"/>
      <c r="D159" s="39"/>
      <c r="E159" s="39"/>
      <c r="F159" s="39"/>
    </row>
    <row r="160" customFormat="false" ht="18" hidden="false" customHeight="true" outlineLevel="0" collapsed="false">
      <c r="A160" s="49" t="s">
        <v>241</v>
      </c>
      <c r="B160" s="42" t="s">
        <v>329</v>
      </c>
      <c r="C160" s="42"/>
      <c r="D160" s="42"/>
      <c r="E160" s="42"/>
      <c r="F160" s="42"/>
    </row>
    <row r="161" customFormat="false" ht="15" hidden="false" customHeight="true" outlineLevel="0" collapsed="false">
      <c r="A161" s="49" t="s">
        <v>243</v>
      </c>
      <c r="B161" s="42" t="s">
        <v>330</v>
      </c>
      <c r="C161" s="42" t="s">
        <v>331</v>
      </c>
      <c r="D161" s="42" t="s">
        <v>313</v>
      </c>
      <c r="E161" s="60"/>
      <c r="F161" s="60"/>
    </row>
    <row r="162" customFormat="false" ht="21.75" hidden="false" customHeight="true" outlineLevel="0" collapsed="false">
      <c r="A162" s="49" t="s">
        <v>245</v>
      </c>
      <c r="B162" s="49"/>
      <c r="C162" s="49"/>
      <c r="D162" s="49"/>
      <c r="E162" s="49"/>
      <c r="F162" s="49"/>
    </row>
    <row r="163" customFormat="false" ht="18" hidden="false" customHeight="true" outlineLevel="0" collapsed="false">
      <c r="A163" s="49" t="s">
        <v>246</v>
      </c>
      <c r="B163" s="49"/>
      <c r="C163" s="49"/>
      <c r="D163" s="49"/>
      <c r="E163" s="49"/>
      <c r="F163" s="49"/>
    </row>
    <row r="164" customFormat="false" ht="18" hidden="false" customHeight="true" outlineLevel="0" collapsed="false">
      <c r="A164" s="49" t="s">
        <v>248</v>
      </c>
      <c r="B164" s="38" t="s">
        <v>332</v>
      </c>
      <c r="C164" s="38"/>
      <c r="D164" s="38"/>
      <c r="E164" s="38"/>
      <c r="F164" s="38"/>
    </row>
    <row r="165" customFormat="false" ht="18" hidden="false" customHeight="true" outlineLevel="0" collapsed="false">
      <c r="A165" s="49" t="s">
        <v>250</v>
      </c>
      <c r="B165" s="38" t="s">
        <v>333</v>
      </c>
      <c r="C165" s="38"/>
      <c r="D165" s="38"/>
      <c r="E165" s="38"/>
      <c r="F165" s="38"/>
    </row>
    <row r="166" customFormat="false" ht="18" hidden="false" customHeight="true" outlineLevel="0" collapsed="false">
      <c r="B166" s="54"/>
      <c r="C166" s="54"/>
      <c r="D166" s="54"/>
      <c r="E166" s="54"/>
      <c r="F166" s="54"/>
    </row>
    <row r="167" customFormat="false" ht="18" hidden="false" customHeight="true" outlineLevel="0" collapsed="false">
      <c r="A167" s="55" t="s">
        <v>334</v>
      </c>
      <c r="B167" s="54"/>
      <c r="C167" s="54"/>
      <c r="D167" s="54"/>
      <c r="E167" s="54"/>
      <c r="F167" s="54"/>
    </row>
    <row r="168" customFormat="false" ht="18" hidden="false" customHeight="true" outlineLevel="0" collapsed="false">
      <c r="A168" s="59" t="s">
        <v>335</v>
      </c>
      <c r="B168" s="53"/>
      <c r="C168" s="53"/>
      <c r="D168" s="53"/>
      <c r="E168" s="53"/>
      <c r="F168" s="53"/>
    </row>
    <row r="169" customFormat="false" ht="15" hidden="false" customHeight="true" outlineLevel="0" collapsed="false">
      <c r="A169" s="49" t="s">
        <v>233</v>
      </c>
      <c r="B169" s="39" t="s">
        <v>199</v>
      </c>
      <c r="C169" s="39"/>
      <c r="D169" s="39"/>
      <c r="E169" s="39"/>
      <c r="F169" s="39"/>
    </row>
    <row r="170" customFormat="false" ht="15" hidden="false" customHeight="true" outlineLevel="0" collapsed="false">
      <c r="A170" s="49" t="s">
        <v>88</v>
      </c>
      <c r="B170" s="39" t="s">
        <v>200</v>
      </c>
      <c r="C170" s="39"/>
      <c r="D170" s="39"/>
      <c r="E170" s="39"/>
      <c r="F170" s="39"/>
    </row>
    <row r="171" customFormat="false" ht="18" hidden="false" customHeight="true" outlineLevel="0" collapsed="false">
      <c r="A171" s="49" t="s">
        <v>89</v>
      </c>
      <c r="B171" s="39" t="s">
        <v>201</v>
      </c>
      <c r="C171" s="52"/>
      <c r="D171" s="52"/>
      <c r="E171" s="52"/>
      <c r="F171" s="53"/>
    </row>
    <row r="172" customFormat="false" ht="18" hidden="false" customHeight="true" outlineLevel="0" collapsed="false">
      <c r="A172" s="49" t="s">
        <v>234</v>
      </c>
      <c r="B172" s="39" t="s">
        <v>298</v>
      </c>
      <c r="C172" s="39"/>
      <c r="D172" s="39"/>
      <c r="E172" s="39"/>
      <c r="F172" s="39"/>
    </row>
    <row r="173" customFormat="false" ht="18" hidden="false" customHeight="true" outlineLevel="0" collapsed="false">
      <c r="A173" s="49" t="s">
        <v>236</v>
      </c>
      <c r="B173" s="39" t="s">
        <v>299</v>
      </c>
      <c r="C173" s="39"/>
      <c r="D173" s="39"/>
      <c r="E173" s="39"/>
      <c r="F173" s="39"/>
    </row>
    <row r="174" customFormat="false" ht="33" hidden="false" customHeight="true" outlineLevel="0" collapsed="false">
      <c r="A174" s="50" t="s">
        <v>95</v>
      </c>
      <c r="B174" s="51" t="s">
        <v>300</v>
      </c>
      <c r="C174" s="51"/>
      <c r="D174" s="51"/>
      <c r="E174" s="51"/>
      <c r="F174" s="51"/>
    </row>
    <row r="175" customFormat="false" ht="18" hidden="false" customHeight="true" outlineLevel="0" collapsed="false">
      <c r="A175" s="50" t="s">
        <v>239</v>
      </c>
      <c r="B175" s="51" t="s">
        <v>336</v>
      </c>
      <c r="C175" s="51"/>
      <c r="D175" s="51"/>
      <c r="E175" s="51"/>
      <c r="F175" s="51"/>
    </row>
    <row r="176" customFormat="false" ht="15" hidden="false" customHeight="true" outlineLevel="0" collapsed="false">
      <c r="A176" s="49" t="s">
        <v>90</v>
      </c>
      <c r="B176" s="39" t="s">
        <v>202</v>
      </c>
      <c r="C176" s="52"/>
      <c r="D176" s="52"/>
      <c r="E176" s="52"/>
      <c r="F176" s="53"/>
    </row>
    <row r="177" customFormat="false" ht="21.75" hidden="false" customHeight="true" outlineLevel="0" collapsed="false">
      <c r="A177" s="49" t="s">
        <v>241</v>
      </c>
      <c r="B177" s="49"/>
      <c r="C177" s="49"/>
      <c r="D177" s="49"/>
      <c r="E177" s="49"/>
      <c r="F177" s="49"/>
    </row>
    <row r="178" customFormat="false" ht="18" hidden="false" customHeight="true" outlineLevel="0" collapsed="false">
      <c r="A178" s="49" t="s">
        <v>243</v>
      </c>
      <c r="B178" s="49"/>
      <c r="C178" s="49"/>
      <c r="D178" s="49"/>
      <c r="E178" s="49"/>
      <c r="F178" s="49"/>
    </row>
    <row r="179" customFormat="false" ht="18" hidden="false" customHeight="true" outlineLevel="0" collapsed="false">
      <c r="A179" s="49" t="s">
        <v>245</v>
      </c>
      <c r="B179" s="42" t="s">
        <v>108</v>
      </c>
      <c r="C179" s="42"/>
      <c r="D179" s="42"/>
      <c r="E179" s="42"/>
      <c r="F179" s="42"/>
    </row>
    <row r="180" customFormat="false" ht="18" hidden="false" customHeight="true" outlineLevel="0" collapsed="false">
      <c r="A180" s="49" t="s">
        <v>246</v>
      </c>
      <c r="B180" s="42" t="s">
        <v>247</v>
      </c>
      <c r="C180" s="42"/>
      <c r="D180" s="42"/>
      <c r="E180" s="42"/>
      <c r="F180" s="42"/>
    </row>
    <row r="181" customFormat="false" ht="18" hidden="false" customHeight="true" outlineLevel="0" collapsed="false">
      <c r="A181" s="49" t="s">
        <v>248</v>
      </c>
      <c r="B181" s="38" t="s">
        <v>337</v>
      </c>
      <c r="C181" s="38"/>
      <c r="D181" s="38"/>
      <c r="E181" s="38"/>
      <c r="F181" s="38"/>
    </row>
    <row r="182" customFormat="false" ht="18" hidden="false" customHeight="true" outlineLevel="0" collapsed="false">
      <c r="A182" s="49" t="s">
        <v>250</v>
      </c>
      <c r="B182" s="38" t="s">
        <v>280</v>
      </c>
      <c r="C182" s="38"/>
      <c r="D182" s="38"/>
      <c r="E182" s="38"/>
      <c r="F182" s="38"/>
    </row>
    <row r="183" customFormat="false" ht="18" hidden="false" customHeight="true" outlineLevel="0" collapsed="false">
      <c r="B183" s="54"/>
      <c r="C183" s="54"/>
      <c r="D183" s="54"/>
      <c r="E183" s="54"/>
      <c r="F183" s="54"/>
    </row>
    <row r="184" customFormat="false" ht="15" hidden="false" customHeight="true" outlineLevel="0" collapsed="false">
      <c r="A184" s="55" t="s">
        <v>338</v>
      </c>
      <c r="B184" s="54"/>
      <c r="C184" s="54"/>
      <c r="D184" s="54"/>
      <c r="E184" s="54"/>
      <c r="F184" s="54"/>
    </row>
    <row r="185" customFormat="false" ht="15" hidden="false" customHeight="true" outlineLevel="0" collapsed="false">
      <c r="A185" s="59" t="s">
        <v>339</v>
      </c>
      <c r="B185" s="53"/>
      <c r="C185" s="53"/>
      <c r="D185" s="53"/>
      <c r="E185" s="53"/>
      <c r="F185" s="53"/>
    </row>
    <row r="186" customFormat="false" ht="18" hidden="false" customHeight="true" outlineLevel="0" collapsed="false">
      <c r="A186" s="49" t="s">
        <v>233</v>
      </c>
      <c r="B186" s="39" t="s">
        <v>207</v>
      </c>
      <c r="C186" s="52"/>
      <c r="D186" s="52"/>
      <c r="E186" s="52"/>
      <c r="F186" s="53"/>
    </row>
    <row r="187" customFormat="false" ht="18" hidden="false" customHeight="true" outlineLevel="0" collapsed="false">
      <c r="A187" s="49" t="s">
        <v>88</v>
      </c>
      <c r="B187" s="39" t="s">
        <v>208</v>
      </c>
      <c r="C187" s="39"/>
      <c r="D187" s="39"/>
      <c r="E187" s="39"/>
      <c r="F187" s="39"/>
    </row>
    <row r="188" customFormat="false" ht="18" hidden="false" customHeight="true" outlineLevel="0" collapsed="false">
      <c r="A188" s="49" t="s">
        <v>89</v>
      </c>
      <c r="B188" s="39" t="s">
        <v>209</v>
      </c>
      <c r="C188" s="39"/>
      <c r="D188" s="39"/>
      <c r="E188" s="39"/>
      <c r="F188" s="39"/>
    </row>
    <row r="189" customFormat="false" ht="33" hidden="false" customHeight="true" outlineLevel="0" collapsed="false">
      <c r="A189" s="49" t="s">
        <v>234</v>
      </c>
      <c r="B189" s="39" t="s">
        <v>298</v>
      </c>
      <c r="C189" s="39"/>
      <c r="D189" s="39"/>
      <c r="E189" s="39"/>
      <c r="F189" s="39"/>
    </row>
    <row r="190" customFormat="false" ht="18" hidden="false" customHeight="true" outlineLevel="0" collapsed="false">
      <c r="A190" s="49" t="s">
        <v>236</v>
      </c>
      <c r="B190" s="39" t="s">
        <v>299</v>
      </c>
      <c r="C190" s="39"/>
      <c r="D190" s="39"/>
      <c r="E190" s="39"/>
      <c r="F190" s="39"/>
    </row>
    <row r="191" customFormat="false" ht="21.75" hidden="false" customHeight="true" outlineLevel="0" collapsed="false">
      <c r="A191" s="50" t="s">
        <v>95</v>
      </c>
      <c r="B191" s="56" t="s">
        <v>300</v>
      </c>
    </row>
    <row r="192" customFormat="false" ht="21.75" hidden="false" customHeight="true" outlineLevel="0" collapsed="false">
      <c r="A192" s="58" t="s">
        <v>239</v>
      </c>
      <c r="B192" s="58"/>
      <c r="C192" s="58"/>
      <c r="D192" s="58"/>
      <c r="E192" s="58"/>
      <c r="F192" s="58"/>
    </row>
    <row r="193" customFormat="false" ht="18" hidden="false" customHeight="true" outlineLevel="0" collapsed="false">
      <c r="A193" s="49" t="s">
        <v>90</v>
      </c>
      <c r="B193" s="49"/>
      <c r="C193" s="49"/>
      <c r="D193" s="49"/>
      <c r="E193" s="49"/>
      <c r="F193" s="49"/>
    </row>
    <row r="194" customFormat="false" ht="18" hidden="false" customHeight="true" outlineLevel="0" collapsed="false">
      <c r="A194" s="49" t="s">
        <v>241</v>
      </c>
      <c r="B194" s="42" t="s">
        <v>340</v>
      </c>
      <c r="C194" s="42"/>
      <c r="D194" s="42"/>
      <c r="E194" s="42"/>
      <c r="F194" s="42"/>
    </row>
    <row r="195" customFormat="false" ht="18" hidden="false" customHeight="true" outlineLevel="0" collapsed="false">
      <c r="A195" s="49" t="s">
        <v>243</v>
      </c>
      <c r="B195" s="42" t="s">
        <v>341</v>
      </c>
      <c r="C195" s="42"/>
      <c r="D195" s="42"/>
      <c r="E195" s="42"/>
      <c r="F195" s="42"/>
    </row>
    <row r="196" customFormat="false" ht="18" hidden="false" customHeight="true" outlineLevel="0" collapsed="false">
      <c r="A196" s="49" t="s">
        <v>245</v>
      </c>
      <c r="B196" s="42" t="s">
        <v>108</v>
      </c>
      <c r="C196" s="42"/>
      <c r="D196" s="42"/>
      <c r="E196" s="42"/>
      <c r="F196" s="42"/>
    </row>
    <row r="197" customFormat="false" ht="18" hidden="false" customHeight="true" outlineLevel="0" collapsed="false">
      <c r="A197" s="49" t="s">
        <v>246</v>
      </c>
      <c r="B197" s="42" t="s">
        <v>247</v>
      </c>
      <c r="C197" s="42"/>
      <c r="D197" s="42"/>
      <c r="E197" s="42"/>
      <c r="F197" s="42"/>
    </row>
    <row r="198" customFormat="false" ht="18" hidden="false" customHeight="true" outlineLevel="0" collapsed="false">
      <c r="A198" s="49" t="s">
        <v>248</v>
      </c>
      <c r="B198" s="38" t="s">
        <v>342</v>
      </c>
      <c r="C198" s="38"/>
      <c r="D198" s="38"/>
      <c r="E198" s="38"/>
      <c r="F198" s="38"/>
    </row>
    <row r="199" customFormat="false" ht="15" hidden="false" customHeight="true" outlineLevel="0" collapsed="false">
      <c r="A199" s="49" t="s">
        <v>250</v>
      </c>
      <c r="B199" s="38" t="s">
        <v>280</v>
      </c>
      <c r="C199" s="38"/>
      <c r="D199" s="38"/>
      <c r="E199" s="38"/>
      <c r="F199" s="38"/>
    </row>
    <row r="200" customFormat="false" ht="15" hidden="false" customHeight="true" outlineLevel="0" collapsed="false">
      <c r="B200" s="54"/>
      <c r="C200" s="54"/>
      <c r="D200" s="54"/>
      <c r="E200" s="54"/>
      <c r="F200" s="54"/>
    </row>
    <row r="201" customFormat="false" ht="18" hidden="false" customHeight="true" outlineLevel="0" collapsed="false">
      <c r="A201" s="55" t="s">
        <v>343</v>
      </c>
    </row>
    <row r="202" customFormat="false" ht="18" hidden="false" customHeight="true" outlineLevel="0" collapsed="false">
      <c r="A202" s="59" t="s">
        <v>344</v>
      </c>
      <c r="B202" s="53"/>
      <c r="C202" s="53"/>
      <c r="D202" s="53"/>
      <c r="E202" s="53"/>
      <c r="F202" s="53"/>
    </row>
    <row r="203" customFormat="false" ht="18" hidden="false" customHeight="true" outlineLevel="0" collapsed="false">
      <c r="A203" s="49" t="s">
        <v>233</v>
      </c>
      <c r="B203" s="39" t="s">
        <v>214</v>
      </c>
      <c r="C203" s="39"/>
      <c r="D203" s="39"/>
      <c r="E203" s="39"/>
      <c r="F203" s="39"/>
    </row>
    <row r="204" customFormat="false" ht="15" hidden="false" customHeight="true" outlineLevel="0" collapsed="false">
      <c r="A204" s="49" t="s">
        <v>88</v>
      </c>
      <c r="B204" s="39" t="s">
        <v>215</v>
      </c>
      <c r="C204" s="52"/>
      <c r="D204" s="52"/>
      <c r="E204" s="52"/>
      <c r="F204" s="53"/>
    </row>
    <row r="205" customFormat="false" ht="32.25" hidden="false" customHeight="true" outlineLevel="0" collapsed="false">
      <c r="A205" s="49" t="s">
        <v>89</v>
      </c>
      <c r="B205" s="39" t="s">
        <v>216</v>
      </c>
      <c r="C205" s="52"/>
      <c r="D205" s="52"/>
      <c r="E205" s="52"/>
      <c r="F205" s="53"/>
    </row>
    <row r="206" customFormat="false" ht="15" hidden="false" customHeight="true" outlineLevel="0" collapsed="false">
      <c r="A206" s="49" t="s">
        <v>234</v>
      </c>
      <c r="B206" s="39" t="s">
        <v>298</v>
      </c>
      <c r="C206" s="52"/>
      <c r="D206" s="52"/>
      <c r="E206" s="52"/>
      <c r="F206" s="53"/>
    </row>
    <row r="207" customFormat="false" ht="21.75" hidden="false" customHeight="true" outlineLevel="0" collapsed="false">
      <c r="A207" s="49" t="s">
        <v>236</v>
      </c>
      <c r="B207" s="39" t="s">
        <v>299</v>
      </c>
      <c r="C207" s="52"/>
      <c r="D207" s="52"/>
      <c r="E207" s="52"/>
      <c r="F207" s="53"/>
    </row>
    <row r="208" customFormat="false" ht="21.75" hidden="false" customHeight="true" outlineLevel="0" collapsed="false">
      <c r="A208" s="50" t="s">
        <v>95</v>
      </c>
      <c r="B208" s="56" t="s">
        <v>300</v>
      </c>
    </row>
    <row r="209" customFormat="false" ht="15" hidden="false" customHeight="true" outlineLevel="0" collapsed="false">
      <c r="A209" s="50" t="s">
        <v>239</v>
      </c>
      <c r="B209" s="56" t="s">
        <v>336</v>
      </c>
    </row>
    <row r="210" customFormat="false" ht="15" hidden="false" customHeight="true" outlineLevel="0" collapsed="false">
      <c r="A210" s="49" t="s">
        <v>90</v>
      </c>
      <c r="B210" s="39" t="s">
        <v>217</v>
      </c>
      <c r="C210" s="52"/>
      <c r="D210" s="52"/>
      <c r="E210" s="52"/>
      <c r="F210" s="53"/>
    </row>
    <row r="211" customFormat="false" ht="15" hidden="false" customHeight="true" outlineLevel="0" collapsed="false">
      <c r="A211" s="49" t="s">
        <v>241</v>
      </c>
      <c r="B211" s="42" t="s">
        <v>345</v>
      </c>
      <c r="C211" s="52"/>
      <c r="D211" s="52"/>
      <c r="E211" s="52"/>
      <c r="F211" s="53"/>
    </row>
    <row r="212" customFormat="false" ht="15" hidden="false" customHeight="true" outlineLevel="0" collapsed="false">
      <c r="A212" s="49" t="s">
        <v>243</v>
      </c>
      <c r="B212" s="42" t="s">
        <v>346</v>
      </c>
      <c r="C212" s="42" t="s">
        <v>347</v>
      </c>
      <c r="D212" s="42" t="s">
        <v>313</v>
      </c>
      <c r="E212" s="60"/>
      <c r="F212" s="60"/>
    </row>
    <row r="213" customFormat="false" ht="15" hidden="false" customHeight="true" outlineLevel="0" collapsed="false">
      <c r="A213" s="49" t="s">
        <v>245</v>
      </c>
      <c r="B213" s="42" t="s">
        <v>108</v>
      </c>
      <c r="C213" s="52"/>
      <c r="D213" s="52"/>
      <c r="E213" s="52"/>
      <c r="F213" s="53"/>
    </row>
    <row r="214" customFormat="false" ht="15" hidden="false" customHeight="true" outlineLevel="0" collapsed="false">
      <c r="A214" s="49" t="s">
        <v>246</v>
      </c>
      <c r="B214" s="42" t="s">
        <v>247</v>
      </c>
      <c r="C214" s="52"/>
      <c r="D214" s="52"/>
      <c r="E214" s="52"/>
      <c r="F214" s="53"/>
    </row>
    <row r="215" customFormat="false" ht="15" hidden="false" customHeight="true" outlineLevel="0" collapsed="false">
      <c r="A215" s="49" t="s">
        <v>248</v>
      </c>
      <c r="B215" s="38" t="s">
        <v>348</v>
      </c>
      <c r="C215" s="52"/>
      <c r="D215" s="52"/>
      <c r="E215" s="52"/>
      <c r="F215" s="53"/>
    </row>
    <row r="216" customFormat="false" ht="15" hidden="false" customHeight="true" outlineLevel="0" collapsed="false">
      <c r="A216" s="49" t="s">
        <v>250</v>
      </c>
      <c r="B216" s="38" t="s">
        <v>280</v>
      </c>
      <c r="C216" s="52"/>
      <c r="D216" s="52"/>
      <c r="E216" s="52"/>
      <c r="F216" s="53"/>
    </row>
    <row r="218" customFormat="false" ht="15" hidden="false" customHeight="true" outlineLevel="0" collapsed="false">
      <c r="A218" s="55" t="s">
        <v>349</v>
      </c>
    </row>
    <row r="219" customFormat="false" ht="15" hidden="false" customHeight="true" outlineLevel="0" collapsed="false">
      <c r="A219" s="59" t="s">
        <v>350</v>
      </c>
      <c r="B219" s="52"/>
      <c r="C219" s="52"/>
      <c r="D219" s="52"/>
      <c r="E219" s="52"/>
      <c r="F219" s="53"/>
    </row>
    <row r="220" customFormat="false" ht="21.75" hidden="false" customHeight="true" outlineLevel="0" collapsed="false">
      <c r="A220" s="49" t="s">
        <v>233</v>
      </c>
      <c r="B220" s="39" t="s">
        <v>222</v>
      </c>
      <c r="C220" s="52"/>
      <c r="D220" s="52"/>
      <c r="E220" s="52"/>
      <c r="F220" s="53"/>
    </row>
    <row r="221" customFormat="false" ht="21.75" hidden="false" customHeight="true" outlineLevel="0" collapsed="false">
      <c r="A221" s="49" t="s">
        <v>88</v>
      </c>
      <c r="B221" s="39" t="s">
        <v>223</v>
      </c>
      <c r="C221" s="52"/>
      <c r="D221" s="52"/>
      <c r="E221" s="52"/>
      <c r="F221" s="53"/>
    </row>
    <row r="222" customFormat="false" ht="42.75" hidden="false" customHeight="true" outlineLevel="0" collapsed="false">
      <c r="A222" s="49" t="s">
        <v>89</v>
      </c>
      <c r="B222" s="39" t="s">
        <v>224</v>
      </c>
      <c r="C222" s="52"/>
      <c r="D222" s="52"/>
      <c r="E222" s="52"/>
      <c r="F222" s="53"/>
    </row>
    <row r="223" customFormat="false" ht="32.25" hidden="false" customHeight="true" outlineLevel="0" collapsed="false">
      <c r="A223" s="49" t="s">
        <v>234</v>
      </c>
      <c r="B223" s="39" t="s">
        <v>351</v>
      </c>
      <c r="C223" s="52"/>
      <c r="D223" s="52"/>
      <c r="E223" s="52"/>
      <c r="F223" s="53"/>
    </row>
    <row r="224" customFormat="false" ht="21.75" hidden="false" customHeight="true" outlineLevel="0" collapsed="false">
      <c r="A224" s="49" t="s">
        <v>236</v>
      </c>
      <c r="B224" s="39" t="s">
        <v>352</v>
      </c>
      <c r="C224" s="52"/>
      <c r="D224" s="52"/>
      <c r="E224" s="52"/>
      <c r="F224" s="53"/>
    </row>
    <row r="225" customFormat="false" ht="32.25" hidden="false" customHeight="true" outlineLevel="0" collapsed="false">
      <c r="A225" s="50" t="s">
        <v>95</v>
      </c>
      <c r="B225" s="56" t="s">
        <v>353</v>
      </c>
    </row>
    <row r="226" customFormat="false" ht="21.75" hidden="false" customHeight="true" outlineLevel="0" collapsed="false">
      <c r="A226" s="50" t="s">
        <v>239</v>
      </c>
      <c r="B226" s="56" t="s">
        <v>354</v>
      </c>
    </row>
    <row r="227" customFormat="false" ht="32.25" hidden="false" customHeight="true" outlineLevel="0" collapsed="false">
      <c r="A227" s="49" t="s">
        <v>90</v>
      </c>
      <c r="B227" s="39" t="s">
        <v>225</v>
      </c>
      <c r="C227" s="52"/>
      <c r="D227" s="52"/>
      <c r="E227" s="52"/>
      <c r="F227" s="53"/>
    </row>
    <row r="228" customFormat="false" ht="15" hidden="false" customHeight="true" outlineLevel="0" collapsed="false">
      <c r="A228" s="49" t="s">
        <v>241</v>
      </c>
      <c r="B228" s="42" t="s">
        <v>355</v>
      </c>
      <c r="C228" s="52"/>
      <c r="D228" s="52"/>
      <c r="E228" s="52"/>
      <c r="F228" s="53"/>
    </row>
    <row r="229" customFormat="false" ht="15" hidden="false" customHeight="true" outlineLevel="0" collapsed="false">
      <c r="A229" s="49" t="s">
        <v>243</v>
      </c>
      <c r="B229" s="42" t="s">
        <v>356</v>
      </c>
      <c r="C229" s="42" t="s">
        <v>357</v>
      </c>
      <c r="D229" s="42" t="s">
        <v>313</v>
      </c>
      <c r="E229" s="60"/>
      <c r="F229" s="60"/>
    </row>
    <row r="230" customFormat="false" ht="15" hidden="false" customHeight="true" outlineLevel="0" collapsed="false">
      <c r="A230" s="49" t="s">
        <v>358</v>
      </c>
      <c r="B230" s="38" t="s">
        <v>227</v>
      </c>
      <c r="C230" s="52"/>
      <c r="D230" s="52"/>
      <c r="E230" s="52"/>
      <c r="F230" s="53"/>
    </row>
    <row r="231" customFormat="false" ht="15" hidden="false" customHeight="true" outlineLevel="0" collapsed="false">
      <c r="A231" s="49" t="s">
        <v>250</v>
      </c>
      <c r="B231" s="38" t="s">
        <v>359</v>
      </c>
      <c r="C231" s="52"/>
      <c r="D231" s="52"/>
      <c r="E231" s="52"/>
      <c r="F231" s="53"/>
    </row>
  </sheetData>
  <mergeCells count="175">
    <mergeCell ref="A1:F1"/>
    <mergeCell ref="A2:F2"/>
    <mergeCell ref="A4:F4"/>
    <mergeCell ref="A5:F5"/>
    <mergeCell ref="B6:F6"/>
    <mergeCell ref="B7:F7"/>
    <mergeCell ref="B8:F8"/>
    <mergeCell ref="B9:F9"/>
    <mergeCell ref="B10:F10"/>
    <mergeCell ref="B11:F11"/>
    <mergeCell ref="B12:F12"/>
    <mergeCell ref="B14:F14"/>
    <mergeCell ref="B15:F15"/>
    <mergeCell ref="B16:F16"/>
    <mergeCell ref="B17:F17"/>
    <mergeCell ref="A19:F19"/>
    <mergeCell ref="A20:F20"/>
    <mergeCell ref="B21:F21"/>
    <mergeCell ref="B22:F22"/>
    <mergeCell ref="B23:F23"/>
    <mergeCell ref="B24:F24"/>
    <mergeCell ref="B25:F25"/>
    <mergeCell ref="B26:F26"/>
    <mergeCell ref="B27:F27"/>
    <mergeCell ref="B29:F29"/>
    <mergeCell ref="B30:F30"/>
    <mergeCell ref="B31:F31"/>
    <mergeCell ref="B32:F32"/>
    <mergeCell ref="A34:F34"/>
    <mergeCell ref="A35:F35"/>
    <mergeCell ref="B36:F36"/>
    <mergeCell ref="B37:F37"/>
    <mergeCell ref="B38:F38"/>
    <mergeCell ref="B39:F39"/>
    <mergeCell ref="B40:F40"/>
    <mergeCell ref="B41:F41"/>
    <mergeCell ref="B42:F42"/>
    <mergeCell ref="B44:F44"/>
    <mergeCell ref="B45:F45"/>
    <mergeCell ref="B46:F46"/>
    <mergeCell ref="B47:F47"/>
    <mergeCell ref="A49:F49"/>
    <mergeCell ref="A50:F50"/>
    <mergeCell ref="B51:F51"/>
    <mergeCell ref="B52:F52"/>
    <mergeCell ref="B53:F53"/>
    <mergeCell ref="B54:F54"/>
    <mergeCell ref="B55:F55"/>
    <mergeCell ref="B56:F56"/>
    <mergeCell ref="B57:F57"/>
    <mergeCell ref="B59:F59"/>
    <mergeCell ref="B60:F60"/>
    <mergeCell ref="B61:F61"/>
    <mergeCell ref="A63:F63"/>
    <mergeCell ref="A64:F64"/>
    <mergeCell ref="B65:F65"/>
    <mergeCell ref="B66:F66"/>
    <mergeCell ref="B67:F67"/>
    <mergeCell ref="B68:F68"/>
    <mergeCell ref="B69:F69"/>
    <mergeCell ref="B70:F70"/>
    <mergeCell ref="B71:F71"/>
    <mergeCell ref="B73:F73"/>
    <mergeCell ref="B74:F74"/>
    <mergeCell ref="A76:F76"/>
    <mergeCell ref="A77:F77"/>
    <mergeCell ref="B78:F78"/>
    <mergeCell ref="B79:F79"/>
    <mergeCell ref="B80:F80"/>
    <mergeCell ref="B81:F81"/>
    <mergeCell ref="B82:F82"/>
    <mergeCell ref="B83:F83"/>
    <mergeCell ref="B84:F84"/>
    <mergeCell ref="B86:F86"/>
    <mergeCell ref="B87:F87"/>
    <mergeCell ref="B88:F88"/>
    <mergeCell ref="B89:F89"/>
    <mergeCell ref="A91:F91"/>
    <mergeCell ref="A92:F92"/>
    <mergeCell ref="B93:F93"/>
    <mergeCell ref="B94:F94"/>
    <mergeCell ref="B95:F95"/>
    <mergeCell ref="B96:F96"/>
    <mergeCell ref="B97:F97"/>
    <mergeCell ref="B98:F98"/>
    <mergeCell ref="B99:F99"/>
    <mergeCell ref="B101:F101"/>
    <mergeCell ref="B102:F102"/>
    <mergeCell ref="B103:F103"/>
    <mergeCell ref="B104:F104"/>
    <mergeCell ref="A106:F106"/>
    <mergeCell ref="A107:F107"/>
    <mergeCell ref="B108:F108"/>
    <mergeCell ref="B109:F109"/>
    <mergeCell ref="B110:F110"/>
    <mergeCell ref="B111:F111"/>
    <mergeCell ref="B112:F112"/>
    <mergeCell ref="B113:F113"/>
    <mergeCell ref="B114:F114"/>
    <mergeCell ref="B116:F116"/>
    <mergeCell ref="B117:F117"/>
    <mergeCell ref="A119:F119"/>
    <mergeCell ref="A120:F120"/>
    <mergeCell ref="B121:F121"/>
    <mergeCell ref="B122:F122"/>
    <mergeCell ref="B123:F123"/>
    <mergeCell ref="B124:F124"/>
    <mergeCell ref="B125:F125"/>
    <mergeCell ref="B126:F126"/>
    <mergeCell ref="B127:F127"/>
    <mergeCell ref="B129:F129"/>
    <mergeCell ref="B130:F130"/>
    <mergeCell ref="A132:F132"/>
    <mergeCell ref="A133:F133"/>
    <mergeCell ref="B134:F134"/>
    <mergeCell ref="B135:F135"/>
    <mergeCell ref="B136:F136"/>
    <mergeCell ref="B137:F137"/>
    <mergeCell ref="B138:F138"/>
    <mergeCell ref="B139:F139"/>
    <mergeCell ref="B140:F140"/>
    <mergeCell ref="B142:F142"/>
    <mergeCell ref="B143:F143"/>
    <mergeCell ref="B144:F144"/>
    <mergeCell ref="B145:F145"/>
    <mergeCell ref="A147:F147"/>
    <mergeCell ref="A148:F148"/>
    <mergeCell ref="B149:F149"/>
    <mergeCell ref="B150:F150"/>
    <mergeCell ref="B151:F151"/>
    <mergeCell ref="B152:F152"/>
    <mergeCell ref="B153:F153"/>
    <mergeCell ref="B154:F154"/>
    <mergeCell ref="B155:F155"/>
    <mergeCell ref="B157:F157"/>
    <mergeCell ref="B158:F158"/>
    <mergeCell ref="B159:F159"/>
    <mergeCell ref="B160:F160"/>
    <mergeCell ref="A162:F162"/>
    <mergeCell ref="A163:F163"/>
    <mergeCell ref="B164:F164"/>
    <mergeCell ref="B165:F165"/>
    <mergeCell ref="B166:F166"/>
    <mergeCell ref="B167:F167"/>
    <mergeCell ref="B168:F168"/>
    <mergeCell ref="B169:F169"/>
    <mergeCell ref="B170:F170"/>
    <mergeCell ref="B172:F172"/>
    <mergeCell ref="B173:F173"/>
    <mergeCell ref="B174:F174"/>
    <mergeCell ref="B175:F175"/>
    <mergeCell ref="A177:F177"/>
    <mergeCell ref="A178:F178"/>
    <mergeCell ref="B179:F179"/>
    <mergeCell ref="B180:F180"/>
    <mergeCell ref="B181:F181"/>
    <mergeCell ref="B182:F182"/>
    <mergeCell ref="B183:F183"/>
    <mergeCell ref="B184:F184"/>
    <mergeCell ref="B185:F185"/>
    <mergeCell ref="B187:F187"/>
    <mergeCell ref="B188:F188"/>
    <mergeCell ref="B189:F189"/>
    <mergeCell ref="B190:F190"/>
    <mergeCell ref="A192:F192"/>
    <mergeCell ref="A193:F193"/>
    <mergeCell ref="B194:F194"/>
    <mergeCell ref="B195:F195"/>
    <mergeCell ref="B196:F196"/>
    <mergeCell ref="B197:F197"/>
    <mergeCell ref="B198:F198"/>
    <mergeCell ref="B199:F199"/>
    <mergeCell ref="B200:F200"/>
    <mergeCell ref="B202:F202"/>
    <mergeCell ref="B203:F203"/>
  </mergeCells>
  <hyperlinks>
    <hyperlink ref="B12" r:id="rId1" display="Adviser, call directly"/>
    <hyperlink ref="B13" r:id="rId2" display="Call Rivers directly. 15 min on a confidential opportunity in his space. Anonymised teaser, aim NDA + first call inside 10 days."/>
    <hyperlink ref="B14" r:id="rId3" display="daniel.rivers@meridianfitout.com.au"/>
    <hyperlink ref="B15" r:id="rId4" display="Mobile +61 491 570 156"/>
    <hyperlink ref="B27" r:id="rId5" display="18 emails (1 deal) · last 9 mo ago · deal subjects: Yes · sentiment Neutral-positive · prior deal: 2021 opposite side · strength Strong"/>
    <hyperlink ref="B28" r:id="rId6" display="Adviser · Prior counterparty, 2021 process"/>
    <hyperlink ref="B29" r:id="rId7" display="Adviser, reconnect directly, reference prior deal"/>
    <hyperlink ref="B30" r:id="rId8" display="Reconnect with Elding directly. Reference the 2021 process. Send the anonymised one-pager."/>
    <hyperlink ref="B42" r:id="rId9" display="Commercial builder pushing into interiors; Atlas is a clean vertical entry. No direct relationship, but a strong two-hop via an ex-client."/>
    <hyperlink ref="B43" r:id="rId10" display="You -&gt; Marcus Obi (ex-client CEO) -&gt; Kingsford MD -&gt; Hayes."/>
    <hyperlink ref="B44" r:id="rId11" display="via connector · last 3 mo ago · deal subjects: not captured · sentiment Warm · prior deal: none · strength Medium"/>
    <hyperlink ref="B45" r:id="rId12" display="Adviser (via Marcus Obi, ex-client CEO, bridge to Hayes)"/>
    <hyperlink ref="B57" r:id="rId13" display="Large, family-owned balance sheet."/>
    <hyperlink ref="B58" r:id="rId14" display="Mostly organic growth; occasional capability acquisitions."/>
    <hyperlink ref="B73" r:id="rId15" display="$40-180m equity."/>
    <hyperlink ref="B84" r:id="rId16" display="Stage: Outreach sent   ·   Done: Yes   ·   Notes: Intro accepted both sides. Also in sourced universe."/>
    <hyperlink ref="B99" r:id="rId17" display="Open profile"/>
    <hyperlink ref="B100" r:id="rId18" display="Hi Sandra, I'm running a confidential mandate that may fit Acroter Constructions. Could we connect for 15 minutes? Happy to share more under NDA."/>
    <hyperlink ref="B101" r:id="rId19" display="Stage: Lead   ·   Done: No   ·   Notes: -"/>
    <hyperlink ref="B114" r:id="rId20" display="Mobile +61 491 570 160"/>
    <hyperlink ref="B115" r:id="rId21" display="Open outreach email"/>
    <hyperlink ref="B116" r:id="rId22" display="Open profile"/>
    <hyperlink ref="B127" r:id="rId23" display="Iceberg network · Brisbane adviser (quarterly contact)"/>
    <hyperlink ref="B128" r:id="rId24" display="Iceberg, double opt-in intro"/>
    <hyperlink ref="B129" r:id="rId25" display="Request a network intro (double opt-in) via the Brisbane adviser."/>
    <hyperlink ref="B140" r:id="rId26" display="Network adviser (Sydney, prior co-advised deal) -&gt; Reid."/>
    <hyperlink ref="B141" r:id="rId27" display="network: medium, solid rapport · strength Medium (network)"/>
    <hyperlink ref="B142" r:id="rId28" display="Iceberg network · Sydney adviser (prior co-advised deal with Foundry)"/>
    <hyperlink ref="B143" r:id="rId29" display="Iceberg, soft double opt-in intro request"/>
    <hyperlink ref="B155" r:id="rId30" display="Direct. You -&gt; Turner (personal / social contact)."/>
    <hyperlink ref="B156" r:id="rId31" display="personal / non-deal · last 2 mo ago · sentiment Positive · prior deal: none · strength Medium"/>
    <hyperlink ref="B157" r:id="rId32" display="Adviser · Personal / social contact"/>
    <hyperlink ref="B158" r:id="rId33" display="Adviser, informal call only"/>
    <hyperlink ref="B170" r:id="rId34" display="Trades-adjacent platforms."/>
    <hyperlink ref="B171" r:id="rId35" display="Lower mid-market with trades exposure. Addressable directly, funnel-level conviction."/>
    <hyperlink ref="B172" r:id="rId36" display="No path. Direct approach."/>
    <hyperlink ref="B173" r:id="rId37" display="not captured · prior deal: none · strength None"/>
    <hyperlink ref="B186" r:id="rId38" display="Opportunistic, flexible."/>
    <hyperlink ref="B187" r:id="rId39" display="Turnaround-led acquisitions."/>
    <hyperlink ref="B188" r:id="rId40" display="Value buyer, would price hard. Keep in the process for competitive tension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46"/>
    <col collapsed="false" customWidth="true" hidden="false" outlineLevel="0" max="7" min="7" style="1" width="9"/>
    <col collapsed="false" customWidth="true" hidden="false" outlineLevel="0" max="8" min="8" style="1" width="22"/>
  </cols>
  <sheetData>
    <row r="1" customFormat="false" ht="24" hidden="false" customHeight="true" outlineLevel="0" collapsed="false">
      <c r="A1" s="2" t="s">
        <v>360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17" t="s">
        <v>361</v>
      </c>
      <c r="B2" s="17"/>
      <c r="C2" s="17"/>
      <c r="D2" s="17"/>
      <c r="E2" s="17"/>
      <c r="F2" s="17"/>
      <c r="G2" s="17"/>
      <c r="H2" s="17"/>
    </row>
    <row r="4" customFormat="false" ht="31.5" hidden="false" customHeight="true" outlineLevel="0" collapsed="false">
      <c r="A4" s="18" t="s">
        <v>82</v>
      </c>
      <c r="B4" s="18" t="s">
        <v>84</v>
      </c>
      <c r="C4" s="18" t="s">
        <v>362</v>
      </c>
      <c r="D4" s="18" t="s">
        <v>363</v>
      </c>
      <c r="E4" s="18" t="s">
        <v>364</v>
      </c>
      <c r="F4" s="18" t="s">
        <v>365</v>
      </c>
      <c r="G4" s="18" t="s">
        <v>366</v>
      </c>
      <c r="H4" s="18" t="s">
        <v>93</v>
      </c>
    </row>
    <row r="5" customFormat="false" ht="19.5" hidden="false" customHeight="true" outlineLevel="0" collapsed="false">
      <c r="A5" s="61" t="s">
        <v>367</v>
      </c>
      <c r="B5" s="62"/>
      <c r="C5" s="62"/>
      <c r="D5" s="62"/>
      <c r="E5" s="62"/>
      <c r="F5" s="62"/>
      <c r="G5" s="62"/>
      <c r="H5" s="62"/>
    </row>
    <row r="6" customFormat="false" ht="39.75" hidden="false" customHeight="true" outlineLevel="0" collapsed="false">
      <c r="A6" s="37" t="s">
        <v>98</v>
      </c>
      <c r="B6" s="38" t="s">
        <v>100</v>
      </c>
      <c r="C6" s="36" t="s">
        <v>368</v>
      </c>
      <c r="D6" s="25" t="s">
        <v>369</v>
      </c>
      <c r="E6" s="39" t="s">
        <v>370</v>
      </c>
      <c r="F6" s="39" t="s">
        <v>371</v>
      </c>
      <c r="G6" s="63" t="s">
        <v>372</v>
      </c>
      <c r="H6" s="39"/>
    </row>
    <row r="7" customFormat="false" ht="39.75" hidden="false" customHeight="true" outlineLevel="0" collapsed="false">
      <c r="A7" s="37" t="s">
        <v>131</v>
      </c>
      <c r="B7" s="38" t="s">
        <v>133</v>
      </c>
      <c r="C7" s="36" t="s">
        <v>368</v>
      </c>
      <c r="D7" s="23" t="s">
        <v>373</v>
      </c>
      <c r="E7" s="39" t="s">
        <v>374</v>
      </c>
      <c r="F7" s="39" t="s">
        <v>375</v>
      </c>
      <c r="G7" s="63" t="s">
        <v>372</v>
      </c>
      <c r="H7" s="39" t="s">
        <v>376</v>
      </c>
    </row>
    <row r="8" customFormat="false" ht="39.75" hidden="false" customHeight="true" outlineLevel="0" collapsed="false">
      <c r="A8" s="37" t="s">
        <v>119</v>
      </c>
      <c r="B8" s="38" t="s">
        <v>121</v>
      </c>
      <c r="C8" s="36" t="s">
        <v>368</v>
      </c>
      <c r="D8" s="24" t="s">
        <v>377</v>
      </c>
      <c r="E8" s="39" t="s">
        <v>378</v>
      </c>
      <c r="F8" s="39" t="s">
        <v>379</v>
      </c>
      <c r="G8" s="64" t="s">
        <v>380</v>
      </c>
      <c r="H8" s="39" t="s">
        <v>381</v>
      </c>
    </row>
    <row r="9" customFormat="false" ht="39.75" hidden="false" customHeight="true" outlineLevel="0" collapsed="false">
      <c r="A9" s="37" t="s">
        <v>153</v>
      </c>
      <c r="B9" s="38" t="s">
        <v>155</v>
      </c>
      <c r="C9" s="36" t="s">
        <v>368</v>
      </c>
      <c r="D9" s="23" t="s">
        <v>382</v>
      </c>
      <c r="E9" s="39" t="s">
        <v>383</v>
      </c>
      <c r="F9" s="39" t="s">
        <v>384</v>
      </c>
      <c r="G9" s="64" t="s">
        <v>380</v>
      </c>
      <c r="H9" s="39"/>
    </row>
    <row r="10" customFormat="false" ht="39.75" hidden="false" customHeight="true" outlineLevel="0" collapsed="false">
      <c r="A10" s="37" t="s">
        <v>178</v>
      </c>
      <c r="B10" s="38" t="s">
        <v>180</v>
      </c>
      <c r="C10" s="36" t="s">
        <v>368</v>
      </c>
      <c r="D10" s="24" t="s">
        <v>377</v>
      </c>
      <c r="E10" s="39" t="s">
        <v>385</v>
      </c>
      <c r="F10" s="39" t="s">
        <v>386</v>
      </c>
      <c r="G10" s="63" t="s">
        <v>372</v>
      </c>
      <c r="H10" s="39" t="s">
        <v>186</v>
      </c>
    </row>
    <row r="11" customFormat="false" ht="19.5" hidden="false" customHeight="true" outlineLevel="0" collapsed="false">
      <c r="A11" s="61" t="s">
        <v>387</v>
      </c>
      <c r="B11" s="62"/>
      <c r="C11" s="62"/>
      <c r="D11" s="62"/>
      <c r="E11" s="62"/>
      <c r="F11" s="62"/>
      <c r="G11" s="62"/>
      <c r="H11" s="62"/>
    </row>
    <row r="12" customFormat="false" ht="39.75" hidden="false" customHeight="true" outlineLevel="0" collapsed="false">
      <c r="A12" s="37" t="s">
        <v>110</v>
      </c>
      <c r="B12" s="38" t="s">
        <v>112</v>
      </c>
      <c r="C12" s="36" t="s">
        <v>388</v>
      </c>
      <c r="D12" s="25" t="s">
        <v>389</v>
      </c>
      <c r="E12" s="39" t="s">
        <v>390</v>
      </c>
      <c r="F12" s="39" t="s">
        <v>391</v>
      </c>
      <c r="G12" s="63" t="s">
        <v>372</v>
      </c>
      <c r="H12" s="39"/>
    </row>
    <row r="13" customFormat="false" ht="39.75" hidden="false" customHeight="true" outlineLevel="0" collapsed="false">
      <c r="A13" s="37" t="s">
        <v>142</v>
      </c>
      <c r="B13" s="38" t="s">
        <v>143</v>
      </c>
      <c r="C13" s="36" t="s">
        <v>388</v>
      </c>
      <c r="D13" s="24" t="s">
        <v>377</v>
      </c>
      <c r="E13" s="39" t="s">
        <v>392</v>
      </c>
      <c r="F13" s="39" t="s">
        <v>393</v>
      </c>
      <c r="G13" s="63" t="s">
        <v>372</v>
      </c>
      <c r="H13" s="39" t="s">
        <v>186</v>
      </c>
    </row>
    <row r="14" customFormat="false" ht="39.75" hidden="false" customHeight="true" outlineLevel="0" collapsed="false">
      <c r="A14" s="37" t="s">
        <v>170</v>
      </c>
      <c r="B14" s="38" t="s">
        <v>172</v>
      </c>
      <c r="C14" s="36" t="s">
        <v>388</v>
      </c>
      <c r="D14" s="24" t="s">
        <v>377</v>
      </c>
      <c r="E14" s="39" t="s">
        <v>394</v>
      </c>
      <c r="F14" s="39" t="s">
        <v>395</v>
      </c>
      <c r="G14" s="63" t="s">
        <v>372</v>
      </c>
      <c r="H14" s="39"/>
    </row>
    <row r="15" customFormat="false" ht="39.75" hidden="false" customHeight="true" outlineLevel="0" collapsed="false">
      <c r="A15" s="37" t="s">
        <v>161</v>
      </c>
      <c r="B15" s="38" t="s">
        <v>163</v>
      </c>
      <c r="C15" s="36" t="s">
        <v>388</v>
      </c>
      <c r="D15" s="23" t="s">
        <v>382</v>
      </c>
      <c r="E15" s="39" t="s">
        <v>396</v>
      </c>
      <c r="F15" s="39" t="s">
        <v>397</v>
      </c>
      <c r="G15" s="65" t="s">
        <v>398</v>
      </c>
      <c r="H15" s="39" t="s">
        <v>399</v>
      </c>
    </row>
    <row r="16" customFormat="false" ht="19.5" hidden="false" customHeight="true" outlineLevel="0" collapsed="false">
      <c r="A16" s="61" t="s">
        <v>400</v>
      </c>
      <c r="B16" s="62"/>
      <c r="C16" s="62"/>
      <c r="D16" s="62"/>
      <c r="E16" s="62"/>
      <c r="F16" s="62"/>
      <c r="G16" s="62"/>
      <c r="H16" s="62"/>
    </row>
    <row r="17" customFormat="false" ht="39.75" hidden="false" customHeight="true" outlineLevel="0" collapsed="false">
      <c r="A17" s="37" t="s">
        <v>187</v>
      </c>
      <c r="B17" s="38" t="s">
        <v>189</v>
      </c>
      <c r="C17" s="36" t="s">
        <v>401</v>
      </c>
      <c r="D17" s="25" t="s">
        <v>369</v>
      </c>
      <c r="E17" s="39" t="s">
        <v>402</v>
      </c>
      <c r="F17" s="39" t="s">
        <v>403</v>
      </c>
      <c r="G17" s="64" t="s">
        <v>380</v>
      </c>
      <c r="H17" s="39" t="s">
        <v>404</v>
      </c>
    </row>
    <row r="19" customFormat="false" ht="21.75" hidden="false" customHeight="true" outlineLevel="0" collapsed="false">
      <c r="A19" s="66" t="s">
        <v>405</v>
      </c>
      <c r="B19" s="66"/>
      <c r="C19" s="66"/>
      <c r="D19" s="66"/>
      <c r="E19" s="66"/>
      <c r="F19" s="66"/>
      <c r="G19" s="66"/>
      <c r="H19" s="66"/>
    </row>
    <row r="20" customFormat="false" ht="15" hidden="false" customHeight="true" outlineLevel="0" collapsed="false">
      <c r="A20" s="66"/>
      <c r="B20" s="66"/>
      <c r="C20" s="66"/>
      <c r="D20" s="66"/>
      <c r="E20" s="66"/>
      <c r="F20" s="66"/>
      <c r="G20" s="66"/>
      <c r="H20" s="66"/>
    </row>
  </sheetData>
  <mergeCells count="3">
    <mergeCell ref="A1:H1"/>
    <mergeCell ref="A2:H2"/>
    <mergeCell ref="A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7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4" min="12" style="1" width="9"/>
    <col collapsed="false" customWidth="true" hidden="false" outlineLevel="0" max="15" min="15" style="1" width="20"/>
    <col collapsed="false" customWidth="true" hidden="false" outlineLevel="0" max="16" min="16" style="1" width="30"/>
    <col collapsed="false" customWidth="true" hidden="false" outlineLevel="0" max="18" min="17" style="1" width="15"/>
    <col collapsed="false" customWidth="true" hidden="false" outlineLevel="0" max="19" min="19" style="1" width="10"/>
    <col collapsed="false" customWidth="true" hidden="false" outlineLevel="0" max="21" min="21" style="1" width="22"/>
  </cols>
  <sheetData>
    <row r="1" customFormat="false" ht="21.75" hidden="false" customHeight="true" outlineLevel="0" collapsed="false">
      <c r="A1" s="47" t="s">
        <v>406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customFormat="false" ht="31.5" hidden="false" customHeight="true" outlineLevel="0" collapsed="false">
      <c r="A2" s="18" t="s">
        <v>407</v>
      </c>
      <c r="B2" s="18" t="s">
        <v>82</v>
      </c>
      <c r="C2" s="18" t="s">
        <v>83</v>
      </c>
      <c r="D2" s="18" t="s">
        <v>408</v>
      </c>
      <c r="E2" s="18" t="s">
        <v>409</v>
      </c>
      <c r="F2" s="18" t="s">
        <v>410</v>
      </c>
      <c r="G2" s="18" t="s">
        <v>87</v>
      </c>
      <c r="H2" s="18" t="s">
        <v>411</v>
      </c>
      <c r="I2" s="18" t="s">
        <v>412</v>
      </c>
      <c r="J2" s="18" t="s">
        <v>413</v>
      </c>
      <c r="K2" s="18" t="s">
        <v>414</v>
      </c>
      <c r="L2" s="18" t="s">
        <v>415</v>
      </c>
      <c r="M2" s="18" t="s">
        <v>48</v>
      </c>
      <c r="N2" s="18" t="s">
        <v>366</v>
      </c>
      <c r="O2" s="18" t="s">
        <v>93</v>
      </c>
      <c r="P2" s="18" t="s">
        <v>241</v>
      </c>
      <c r="Q2" s="18" t="s">
        <v>416</v>
      </c>
      <c r="R2" s="18" t="s">
        <v>369</v>
      </c>
      <c r="S2" s="18" t="s">
        <v>313</v>
      </c>
      <c r="T2" s="1" t="s">
        <v>95</v>
      </c>
      <c r="U2" s="35" t="s">
        <v>239</v>
      </c>
    </row>
    <row r="3" customFormat="false" ht="33.75" hidden="false" customHeight="true" outlineLevel="0" collapsed="false">
      <c r="A3" s="67" t="s">
        <v>417</v>
      </c>
      <c r="B3" s="68" t="s">
        <v>98</v>
      </c>
      <c r="C3" s="69" t="s">
        <v>99</v>
      </c>
      <c r="D3" s="69" t="s">
        <v>100</v>
      </c>
      <c r="E3" s="67" t="s">
        <v>368</v>
      </c>
      <c r="F3" s="67" t="s">
        <v>418</v>
      </c>
      <c r="G3" s="40" t="n">
        <v>94</v>
      </c>
      <c r="H3" s="70" t="s">
        <v>419</v>
      </c>
      <c r="I3" s="71" t="s">
        <v>420</v>
      </c>
      <c r="J3" s="67" t="s">
        <v>421</v>
      </c>
      <c r="K3" s="72" t="s">
        <v>422</v>
      </c>
      <c r="L3" s="72" t="s">
        <v>423</v>
      </c>
      <c r="M3" s="67" t="s">
        <v>54</v>
      </c>
      <c r="N3" s="72" t="s">
        <v>106</v>
      </c>
      <c r="O3" s="70" t="s">
        <v>424</v>
      </c>
      <c r="P3" s="73" t="s">
        <v>242</v>
      </c>
      <c r="Q3" s="73" t="s">
        <v>425</v>
      </c>
      <c r="R3" s="73" t="s">
        <v>426</v>
      </c>
      <c r="S3" s="73" t="s">
        <v>313</v>
      </c>
      <c r="T3" s="13" t="s">
        <v>7</v>
      </c>
      <c r="U3" s="13" t="s">
        <v>7</v>
      </c>
    </row>
    <row r="4" customFormat="false" ht="33.75" hidden="false" customHeight="true" outlineLevel="0" collapsed="false">
      <c r="A4" s="67" t="s">
        <v>427</v>
      </c>
      <c r="B4" s="68" t="s">
        <v>119</v>
      </c>
      <c r="C4" s="69" t="s">
        <v>120</v>
      </c>
      <c r="D4" s="69" t="s">
        <v>121</v>
      </c>
      <c r="E4" s="67" t="s">
        <v>368</v>
      </c>
      <c r="F4" s="67" t="s">
        <v>418</v>
      </c>
      <c r="G4" s="40" t="n">
        <v>90</v>
      </c>
      <c r="H4" s="70" t="s">
        <v>428</v>
      </c>
      <c r="I4" s="71" t="s">
        <v>420</v>
      </c>
      <c r="J4" s="67" t="s">
        <v>421</v>
      </c>
      <c r="K4" s="72" t="s">
        <v>422</v>
      </c>
      <c r="L4" s="72" t="s">
        <v>423</v>
      </c>
      <c r="M4" s="67" t="s">
        <v>54</v>
      </c>
      <c r="N4" s="74" t="s">
        <v>429</v>
      </c>
      <c r="O4" s="70" t="s">
        <v>430</v>
      </c>
      <c r="P4" s="73" t="s">
        <v>266</v>
      </c>
      <c r="Q4" s="73" t="s">
        <v>431</v>
      </c>
      <c r="R4" s="73" t="s">
        <v>432</v>
      </c>
      <c r="S4" s="73" t="s">
        <v>313</v>
      </c>
      <c r="T4" s="13" t="s">
        <v>129</v>
      </c>
      <c r="U4" s="13" t="s">
        <v>130</v>
      </c>
    </row>
    <row r="5" customFormat="false" ht="33.75" hidden="false" customHeight="true" outlineLevel="0" collapsed="false">
      <c r="A5" s="67" t="s">
        <v>433</v>
      </c>
      <c r="B5" s="68" t="s">
        <v>110</v>
      </c>
      <c r="C5" s="69" t="s">
        <v>111</v>
      </c>
      <c r="D5" s="69" t="s">
        <v>112</v>
      </c>
      <c r="E5" s="67" t="s">
        <v>434</v>
      </c>
      <c r="F5" s="67" t="s">
        <v>418</v>
      </c>
      <c r="G5" s="40" t="n">
        <v>88</v>
      </c>
      <c r="H5" s="70" t="s">
        <v>435</v>
      </c>
      <c r="I5" s="71" t="s">
        <v>420</v>
      </c>
      <c r="J5" s="67" t="s">
        <v>421</v>
      </c>
      <c r="K5" s="72" t="s">
        <v>422</v>
      </c>
      <c r="L5" s="72" t="s">
        <v>423</v>
      </c>
      <c r="M5" s="67" t="s">
        <v>54</v>
      </c>
      <c r="N5" s="72" t="s">
        <v>106</v>
      </c>
      <c r="O5" s="70" t="s">
        <v>436</v>
      </c>
      <c r="P5" s="73" t="s">
        <v>257</v>
      </c>
      <c r="Q5" s="73" t="s">
        <v>437</v>
      </c>
      <c r="R5" s="73" t="s">
        <v>438</v>
      </c>
      <c r="S5" s="73" t="s">
        <v>313</v>
      </c>
      <c r="T5" s="13" t="s">
        <v>7</v>
      </c>
      <c r="U5" s="13" t="s">
        <v>7</v>
      </c>
    </row>
    <row r="6" customFormat="false" ht="33.75" hidden="false" customHeight="true" outlineLevel="0" collapsed="false">
      <c r="A6" s="75" t="s">
        <v>439</v>
      </c>
      <c r="B6" s="76" t="s">
        <v>131</v>
      </c>
      <c r="C6" s="77" t="s">
        <v>132</v>
      </c>
      <c r="D6" s="77" t="s">
        <v>133</v>
      </c>
      <c r="E6" s="75" t="s">
        <v>368</v>
      </c>
      <c r="F6" s="75" t="s">
        <v>440</v>
      </c>
      <c r="G6" s="40" t="n">
        <v>84</v>
      </c>
      <c r="H6" s="78" t="s">
        <v>441</v>
      </c>
      <c r="I6" s="79" t="s">
        <v>420</v>
      </c>
      <c r="J6" s="75" t="s">
        <v>421</v>
      </c>
      <c r="K6" s="80" t="s">
        <v>369</v>
      </c>
      <c r="L6" s="81" t="s">
        <v>442</v>
      </c>
      <c r="M6" s="75" t="s">
        <v>60</v>
      </c>
      <c r="N6" s="82" t="s">
        <v>106</v>
      </c>
      <c r="O6" s="78" t="s">
        <v>443</v>
      </c>
      <c r="P6" s="83" t="s">
        <v>277</v>
      </c>
      <c r="Q6" s="83" t="s">
        <v>444</v>
      </c>
      <c r="R6" s="83" t="s">
        <v>445</v>
      </c>
      <c r="S6" s="83" t="s">
        <v>313</v>
      </c>
      <c r="T6" s="13" t="s">
        <v>141</v>
      </c>
      <c r="U6" s="13" t="s">
        <v>141</v>
      </c>
    </row>
    <row r="7" customFormat="false" ht="33.75" hidden="false" customHeight="true" outlineLevel="0" collapsed="false">
      <c r="A7" s="75" t="s">
        <v>446</v>
      </c>
      <c r="B7" s="76" t="s">
        <v>161</v>
      </c>
      <c r="C7" s="77" t="s">
        <v>162</v>
      </c>
      <c r="D7" s="77" t="s">
        <v>163</v>
      </c>
      <c r="E7" s="75" t="s">
        <v>434</v>
      </c>
      <c r="F7" s="75" t="s">
        <v>418</v>
      </c>
      <c r="G7" s="40" t="n">
        <v>83</v>
      </c>
      <c r="H7" s="78" t="s">
        <v>447</v>
      </c>
      <c r="I7" s="79" t="s">
        <v>420</v>
      </c>
      <c r="J7" s="84" t="s">
        <v>448</v>
      </c>
      <c r="K7" s="80" t="s">
        <v>369</v>
      </c>
      <c r="L7" s="81" t="s">
        <v>442</v>
      </c>
      <c r="M7" s="75" t="s">
        <v>60</v>
      </c>
      <c r="N7" s="85" t="s">
        <v>139</v>
      </c>
      <c r="O7" s="78" t="s">
        <v>449</v>
      </c>
      <c r="P7" s="83" t="s">
        <v>302</v>
      </c>
      <c r="Q7" s="83" t="s">
        <v>450</v>
      </c>
      <c r="R7" s="83" t="s">
        <v>451</v>
      </c>
      <c r="S7" s="83" t="s">
        <v>313</v>
      </c>
      <c r="T7" s="13" t="s">
        <v>169</v>
      </c>
      <c r="U7" s="13" t="s">
        <v>7</v>
      </c>
    </row>
    <row r="8" customFormat="false" ht="33.75" hidden="false" customHeight="true" outlineLevel="0" collapsed="false">
      <c r="A8" s="75" t="s">
        <v>452</v>
      </c>
      <c r="B8" s="76" t="s">
        <v>142</v>
      </c>
      <c r="C8" s="77" t="s">
        <v>111</v>
      </c>
      <c r="D8" s="77" t="s">
        <v>143</v>
      </c>
      <c r="E8" s="75" t="s">
        <v>434</v>
      </c>
      <c r="F8" s="75" t="s">
        <v>418</v>
      </c>
      <c r="G8" s="40" t="n">
        <v>81</v>
      </c>
      <c r="H8" s="78" t="s">
        <v>453</v>
      </c>
      <c r="I8" s="79" t="s">
        <v>420</v>
      </c>
      <c r="J8" s="75" t="s">
        <v>421</v>
      </c>
      <c r="K8" s="84" t="s">
        <v>454</v>
      </c>
      <c r="L8" s="81" t="s">
        <v>442</v>
      </c>
      <c r="M8" s="75" t="s">
        <v>60</v>
      </c>
      <c r="N8" s="82" t="s">
        <v>106</v>
      </c>
      <c r="O8" s="78" t="s">
        <v>455</v>
      </c>
      <c r="P8" s="83" t="s">
        <v>285</v>
      </c>
      <c r="Q8" s="83" t="s">
        <v>456</v>
      </c>
      <c r="R8" s="83" t="s">
        <v>457</v>
      </c>
      <c r="S8" s="83" t="s">
        <v>313</v>
      </c>
      <c r="T8" s="13" t="s">
        <v>151</v>
      </c>
      <c r="U8" s="13" t="s">
        <v>152</v>
      </c>
    </row>
    <row r="9" customFormat="false" ht="33.75" hidden="false" customHeight="true" outlineLevel="0" collapsed="false">
      <c r="A9" s="75" t="s">
        <v>458</v>
      </c>
      <c r="B9" s="76" t="s">
        <v>153</v>
      </c>
      <c r="C9" s="77" t="s">
        <v>154</v>
      </c>
      <c r="D9" s="77" t="s">
        <v>155</v>
      </c>
      <c r="E9" s="75" t="s">
        <v>368</v>
      </c>
      <c r="F9" s="75" t="s">
        <v>440</v>
      </c>
      <c r="G9" s="86" t="n">
        <v>78</v>
      </c>
      <c r="H9" s="78" t="s">
        <v>383</v>
      </c>
      <c r="I9" s="87" t="s">
        <v>459</v>
      </c>
      <c r="J9" s="75" t="s">
        <v>421</v>
      </c>
      <c r="K9" s="80" t="s">
        <v>369</v>
      </c>
      <c r="L9" s="81" t="s">
        <v>442</v>
      </c>
      <c r="M9" s="75" t="s">
        <v>60</v>
      </c>
      <c r="N9" s="88" t="s">
        <v>429</v>
      </c>
      <c r="O9" s="78"/>
      <c r="P9" s="83" t="s">
        <v>293</v>
      </c>
      <c r="Q9" s="83" t="s">
        <v>460</v>
      </c>
      <c r="R9" s="83" t="s">
        <v>461</v>
      </c>
      <c r="S9" s="83" t="s">
        <v>313</v>
      </c>
      <c r="T9" s="13" t="s">
        <v>7</v>
      </c>
      <c r="U9" s="13" t="s">
        <v>7</v>
      </c>
    </row>
    <row r="10" customFormat="false" ht="33.75" hidden="false" customHeight="true" outlineLevel="0" collapsed="false">
      <c r="A10" s="89" t="s">
        <v>462</v>
      </c>
      <c r="B10" s="6" t="s">
        <v>203</v>
      </c>
      <c r="C10" s="90" t="s">
        <v>204</v>
      </c>
      <c r="D10" s="90" t="s">
        <v>205</v>
      </c>
      <c r="E10" s="89" t="s">
        <v>434</v>
      </c>
      <c r="F10" s="89" t="s">
        <v>418</v>
      </c>
      <c r="G10" s="91" t="n">
        <v>74</v>
      </c>
      <c r="H10" s="92" t="s">
        <v>463</v>
      </c>
      <c r="I10" s="93" t="s">
        <v>420</v>
      </c>
      <c r="J10" s="94" t="s">
        <v>448</v>
      </c>
      <c r="K10" s="95" t="s">
        <v>369</v>
      </c>
      <c r="L10" s="96" t="s">
        <v>464</v>
      </c>
      <c r="M10" s="89" t="s">
        <v>66</v>
      </c>
      <c r="N10" s="97" t="s">
        <v>429</v>
      </c>
      <c r="O10" s="92"/>
      <c r="P10" s="98" t="s">
        <v>340</v>
      </c>
      <c r="Q10" s="98" t="s">
        <v>465</v>
      </c>
      <c r="R10" s="98" t="s">
        <v>466</v>
      </c>
      <c r="S10" s="98" t="s">
        <v>313</v>
      </c>
      <c r="T10" s="13" t="s">
        <v>169</v>
      </c>
      <c r="U10" s="13" t="s">
        <v>7</v>
      </c>
    </row>
    <row r="11" customFormat="false" ht="33.75" hidden="false" customHeight="true" outlineLevel="0" collapsed="false">
      <c r="A11" s="89" t="s">
        <v>467</v>
      </c>
      <c r="B11" s="6" t="s">
        <v>170</v>
      </c>
      <c r="C11" s="90" t="s">
        <v>171</v>
      </c>
      <c r="D11" s="90" t="s">
        <v>172</v>
      </c>
      <c r="E11" s="89" t="s">
        <v>434</v>
      </c>
      <c r="F11" s="89" t="s">
        <v>468</v>
      </c>
      <c r="G11" s="91" t="n">
        <v>77</v>
      </c>
      <c r="H11" s="92" t="s">
        <v>394</v>
      </c>
      <c r="I11" s="93" t="s">
        <v>420</v>
      </c>
      <c r="J11" s="89" t="s">
        <v>421</v>
      </c>
      <c r="K11" s="94" t="s">
        <v>454</v>
      </c>
      <c r="L11" s="96" t="s">
        <v>464</v>
      </c>
      <c r="M11" s="89" t="s">
        <v>66</v>
      </c>
      <c r="N11" s="99" t="s">
        <v>106</v>
      </c>
      <c r="O11" s="92" t="s">
        <v>469</v>
      </c>
      <c r="P11" s="98" t="s">
        <v>310</v>
      </c>
      <c r="Q11" s="98" t="s">
        <v>470</v>
      </c>
      <c r="R11" s="98" t="s">
        <v>471</v>
      </c>
      <c r="S11" s="98" t="s">
        <v>313</v>
      </c>
      <c r="T11" s="13" t="s">
        <v>151</v>
      </c>
      <c r="U11" s="13" t="s">
        <v>152</v>
      </c>
    </row>
    <row r="12" customFormat="false" ht="33.75" hidden="false" customHeight="true" outlineLevel="0" collapsed="false">
      <c r="A12" s="89" t="s">
        <v>472</v>
      </c>
      <c r="B12" s="6" t="s">
        <v>218</v>
      </c>
      <c r="C12" s="90" t="s">
        <v>219</v>
      </c>
      <c r="D12" s="90" t="s">
        <v>220</v>
      </c>
      <c r="E12" s="89" t="s">
        <v>368</v>
      </c>
      <c r="F12" s="89" t="s">
        <v>473</v>
      </c>
      <c r="G12" s="91" t="n">
        <v>72</v>
      </c>
      <c r="H12" s="92" t="s">
        <v>474</v>
      </c>
      <c r="I12" s="100" t="s">
        <v>459</v>
      </c>
      <c r="J12" s="94" t="s">
        <v>448</v>
      </c>
      <c r="K12" s="94" t="s">
        <v>454</v>
      </c>
      <c r="L12" s="96" t="s">
        <v>464</v>
      </c>
      <c r="M12" s="89" t="s">
        <v>66</v>
      </c>
      <c r="N12" s="101" t="s">
        <v>228</v>
      </c>
      <c r="O12" s="92" t="s">
        <v>475</v>
      </c>
      <c r="P12" s="98" t="s">
        <v>355</v>
      </c>
      <c r="Q12" s="98" t="s">
        <v>476</v>
      </c>
      <c r="R12" s="98" t="s">
        <v>477</v>
      </c>
      <c r="S12" s="98" t="s">
        <v>313</v>
      </c>
      <c r="T12" s="13" t="s">
        <v>151</v>
      </c>
      <c r="U12" s="13" t="s">
        <v>228</v>
      </c>
    </row>
    <row r="13" customFormat="false" ht="33.75" hidden="false" customHeight="true" outlineLevel="0" collapsed="false">
      <c r="A13" s="89" t="s">
        <v>478</v>
      </c>
      <c r="B13" s="6" t="s">
        <v>196</v>
      </c>
      <c r="C13" s="90" t="s">
        <v>132</v>
      </c>
      <c r="D13" s="90" t="s">
        <v>197</v>
      </c>
      <c r="E13" s="89" t="s">
        <v>434</v>
      </c>
      <c r="F13" s="89" t="s">
        <v>418</v>
      </c>
      <c r="G13" s="91" t="n">
        <v>70</v>
      </c>
      <c r="H13" s="92" t="s">
        <v>479</v>
      </c>
      <c r="I13" s="93" t="s">
        <v>420</v>
      </c>
      <c r="J13" s="89" t="s">
        <v>421</v>
      </c>
      <c r="K13" s="95" t="s">
        <v>369</v>
      </c>
      <c r="L13" s="96" t="s">
        <v>464</v>
      </c>
      <c r="M13" s="89" t="s">
        <v>66</v>
      </c>
      <c r="N13" s="97" t="s">
        <v>429</v>
      </c>
      <c r="O13" s="92"/>
      <c r="P13" s="98" t="s">
        <v>480</v>
      </c>
      <c r="Q13" s="98" t="s">
        <v>481</v>
      </c>
      <c r="R13" s="98" t="s">
        <v>482</v>
      </c>
      <c r="S13" s="98" t="s">
        <v>313</v>
      </c>
      <c r="T13" s="13" t="s">
        <v>169</v>
      </c>
      <c r="U13" s="13" t="s">
        <v>7</v>
      </c>
    </row>
    <row r="14" customFormat="false" ht="33.75" hidden="false" customHeight="true" outlineLevel="0" collapsed="false">
      <c r="A14" s="89" t="s">
        <v>483</v>
      </c>
      <c r="B14" s="6" t="s">
        <v>187</v>
      </c>
      <c r="C14" s="90" t="s">
        <v>188</v>
      </c>
      <c r="D14" s="90" t="s">
        <v>189</v>
      </c>
      <c r="E14" s="89" t="s">
        <v>401</v>
      </c>
      <c r="F14" s="89" t="s">
        <v>484</v>
      </c>
      <c r="G14" s="91" t="n">
        <v>66</v>
      </c>
      <c r="H14" s="92" t="s">
        <v>485</v>
      </c>
      <c r="I14" s="93" t="s">
        <v>420</v>
      </c>
      <c r="J14" s="97" t="s">
        <v>486</v>
      </c>
      <c r="K14" s="99" t="s">
        <v>422</v>
      </c>
      <c r="L14" s="96" t="s">
        <v>464</v>
      </c>
      <c r="M14" s="89" t="s">
        <v>66</v>
      </c>
      <c r="N14" s="97" t="s">
        <v>429</v>
      </c>
      <c r="O14" s="92" t="s">
        <v>487</v>
      </c>
      <c r="P14" s="98" t="s">
        <v>329</v>
      </c>
      <c r="Q14" s="98" t="s">
        <v>488</v>
      </c>
      <c r="R14" s="98" t="s">
        <v>489</v>
      </c>
      <c r="S14" s="98" t="s">
        <v>313</v>
      </c>
      <c r="T14" s="13" t="s">
        <v>7</v>
      </c>
      <c r="U14" s="13" t="s">
        <v>7</v>
      </c>
    </row>
    <row r="15" customFormat="false" ht="33.75" hidden="false" customHeight="true" outlineLevel="0" collapsed="false">
      <c r="A15" s="89" t="s">
        <v>490</v>
      </c>
      <c r="B15" s="6" t="s">
        <v>178</v>
      </c>
      <c r="C15" s="90" t="s">
        <v>179</v>
      </c>
      <c r="D15" s="90" t="s">
        <v>180</v>
      </c>
      <c r="E15" s="89" t="s">
        <v>368</v>
      </c>
      <c r="F15" s="89" t="s">
        <v>418</v>
      </c>
      <c r="G15" s="91" t="n">
        <v>64</v>
      </c>
      <c r="H15" s="92" t="s">
        <v>385</v>
      </c>
      <c r="I15" s="95" t="s">
        <v>491</v>
      </c>
      <c r="J15" s="94" t="s">
        <v>448</v>
      </c>
      <c r="K15" s="94" t="s">
        <v>454</v>
      </c>
      <c r="L15" s="96" t="s">
        <v>464</v>
      </c>
      <c r="M15" s="89" t="s">
        <v>66</v>
      </c>
      <c r="N15" s="99" t="s">
        <v>106</v>
      </c>
      <c r="O15" s="92" t="s">
        <v>492</v>
      </c>
      <c r="P15" s="98" t="s">
        <v>320</v>
      </c>
      <c r="Q15" s="98" t="s">
        <v>493</v>
      </c>
      <c r="R15" s="98" t="s">
        <v>494</v>
      </c>
      <c r="S15" s="98" t="s">
        <v>313</v>
      </c>
      <c r="T15" s="13" t="s">
        <v>151</v>
      </c>
      <c r="U15" s="13" t="s">
        <v>152</v>
      </c>
    </row>
    <row r="16" customFormat="false" ht="33.75" hidden="false" customHeight="true" outlineLevel="0" collapsed="false">
      <c r="A16" s="89" t="s">
        <v>495</v>
      </c>
      <c r="B16" s="6" t="s">
        <v>211</v>
      </c>
      <c r="C16" s="90" t="s">
        <v>162</v>
      </c>
      <c r="D16" s="90" t="s">
        <v>212</v>
      </c>
      <c r="E16" s="89" t="s">
        <v>434</v>
      </c>
      <c r="F16" s="89" t="s">
        <v>418</v>
      </c>
      <c r="G16" s="91" t="n">
        <v>60</v>
      </c>
      <c r="H16" s="92" t="s">
        <v>496</v>
      </c>
      <c r="I16" s="95" t="s">
        <v>491</v>
      </c>
      <c r="J16" s="94" t="s">
        <v>448</v>
      </c>
      <c r="K16" s="95" t="s">
        <v>369</v>
      </c>
      <c r="L16" s="96" t="s">
        <v>464</v>
      </c>
      <c r="M16" s="89" t="s">
        <v>66</v>
      </c>
      <c r="N16" s="97" t="s">
        <v>429</v>
      </c>
      <c r="O16" s="92"/>
      <c r="P16" s="98" t="s">
        <v>345</v>
      </c>
      <c r="Q16" s="98" t="s">
        <v>497</v>
      </c>
      <c r="R16" s="98" t="s">
        <v>498</v>
      </c>
      <c r="S16" s="98" t="s">
        <v>313</v>
      </c>
      <c r="T16" s="13" t="s">
        <v>169</v>
      </c>
      <c r="U16" s="13" t="s">
        <v>7</v>
      </c>
    </row>
  </sheetData>
  <mergeCells count="1">
    <mergeCell ref="A1:S1"/>
  </mergeCells>
  <hyperlinks>
    <hyperlink ref="P3" r:id="rId1" display="daniel.rivers@meridianfitout.com.au"/>
    <hyperlink ref="Q3" r:id="rId2" display="+61 491 570 156"/>
    <hyperlink ref="R3" r:id="rId3" display="+61 2 5550 0101"/>
    <hyperlink ref="S3" r:id="rId4" display="LinkedIn"/>
    <hyperlink ref="P4" r:id="rId5" display="m.hayes@kingsfordconstruct.com.au"/>
    <hyperlink ref="Q4" r:id="rId6" display="+61 491 570 157"/>
    <hyperlink ref="R4" r:id="rId7" display="+61 2 5550 0102"/>
    <hyperlink ref="S4" r:id="rId8" display="LinkedIn"/>
    <hyperlink ref="P5" r:id="rId9" display="t.elding@quadrey.com.au"/>
    <hyperlink ref="Q5" r:id="rId10" display="+61 491 570 158"/>
    <hyperlink ref="R5" r:id="rId11" display="+61 2 5550 0103"/>
    <hyperlink ref="S5" r:id="rId12" display="LinkedIn"/>
    <hyperlink ref="P6" r:id="rId13" display="gerard.holt@holtbuilders.com.au"/>
    <hyperlink ref="Q6" r:id="rId14" display="+61 491 570 159"/>
    <hyperlink ref="R6" r:id="rId15" display="+61 7 5550 0104"/>
    <hyperlink ref="S6" r:id="rId16" display="LinkedIn"/>
    <hyperlink ref="P7" r:id="rId17" display="p.naidu@adamere.com.au"/>
    <hyperlink ref="Q7" r:id="rId18" display="+61 491 570 160"/>
    <hyperlink ref="R7" r:id="rId19" display="+61 2 5550 0105"/>
    <hyperlink ref="S7" r:id="rId20" display="LinkedIn"/>
    <hyperlink ref="P8" r:id="rId21" display="m.ware@nexacapital.com.au"/>
    <hyperlink ref="Q8" r:id="rId22" display="+61 491 570 161"/>
    <hyperlink ref="R8" r:id="rId23" display="+61 2 5550 0106"/>
    <hyperlink ref="S8" r:id="rId24" display="LinkedIn"/>
    <hyperlink ref="P9" r:id="rId25" display="s.keller@acroter.com.au"/>
    <hyperlink ref="Q9" r:id="rId26" display="+61 491 570 162"/>
    <hyperlink ref="R9" r:id="rId27" display="+61 7 5550 0107"/>
    <hyperlink ref="S9" r:id="rId28" display="LinkedIn"/>
    <hyperlink ref="P10" r:id="rId29" display="j.foss@allegrapartners.com.au"/>
    <hyperlink ref="Q10" r:id="rId30" display="+61 491 570 163"/>
    <hyperlink ref="R10" r:id="rId31" display="+61 2 5550 0108"/>
    <hyperlink ref="S10" r:id="rId32" display="LinkedIn"/>
    <hyperlink ref="P11" r:id="rId33" display="a.kovac@rivermark.com"/>
    <hyperlink ref="Q11" r:id="rId34" display="+61 491 570 164"/>
    <hyperlink ref="R11" r:id="rId35" display="+61 3 5550 0109"/>
    <hyperlink ref="S11" r:id="rId36" display="LinkedIn"/>
    <hyperlink ref="P12" r:id="rId37" display="owen.granger@ironsidegroup.co.uk"/>
    <hyperlink ref="Q12" r:id="rId38" display="+44 7700 900156"/>
    <hyperlink ref="R12" r:id="rId39" display="+44 20 7946 0158"/>
    <hyperlink ref="S12" r:id="rId40" display="LinkedIn"/>
    <hyperlink ref="P13" r:id="rId41" display="r.lin@pembury.com.au"/>
    <hyperlink ref="Q13" r:id="rId42" display="+61 491 570 165"/>
    <hyperlink ref="R13" r:id="rId43" display="+61 2 5550 0110"/>
    <hyperlink ref="S13" r:id="rId44" display="LinkedIn"/>
    <hyperlink ref="P14" r:id="rId45" display="dominic@turnerfo.com.au"/>
    <hyperlink ref="Q14" r:id="rId46" display="+61 491 570 166"/>
    <hyperlink ref="R14" r:id="rId47" display="+61 8 5550 0111"/>
    <hyperlink ref="S14" r:id="rId48" display="LinkedIn"/>
    <hyperlink ref="P15" r:id="rId49" display="h.reid@foundryconstruct.com.au"/>
    <hyperlink ref="Q15" r:id="rId50" display="+61 491 570 167"/>
    <hyperlink ref="R15" r:id="rId51" display="+61 2 5550 0112"/>
    <hyperlink ref="S15" r:id="rId52" display="LinkedIn"/>
    <hyperlink ref="P16" r:id="rId53" display="l.doan@fifthpeak.com"/>
    <hyperlink ref="Q16" r:id="rId54" display="+61 491 570 168"/>
    <hyperlink ref="R16" r:id="rId55" display="+61 2 5550 0113"/>
    <hyperlink ref="S16" r:id="rId56" display="Linked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36"/>
  </cols>
  <sheetData>
    <row r="1" customFormat="false" ht="21.75" hidden="false" customHeight="true" outlineLevel="0" collapsed="false">
      <c r="A1" s="47" t="s">
        <v>499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customFormat="false" ht="31.5" hidden="false" customHeight="true" outlineLevel="0" collapsed="false">
      <c r="A2" s="18" t="s">
        <v>82</v>
      </c>
      <c r="B2" s="18" t="s">
        <v>500</v>
      </c>
      <c r="C2" s="18" t="s">
        <v>501</v>
      </c>
      <c r="D2" s="18" t="s">
        <v>502</v>
      </c>
      <c r="E2" s="18" t="s">
        <v>503</v>
      </c>
      <c r="F2" s="18" t="s">
        <v>504</v>
      </c>
      <c r="G2" s="18" t="s">
        <v>505</v>
      </c>
      <c r="H2" s="18" t="s">
        <v>506</v>
      </c>
      <c r="I2" s="18" t="s">
        <v>363</v>
      </c>
      <c r="J2" s="18" t="s">
        <v>507</v>
      </c>
      <c r="K2" s="18" t="s">
        <v>508</v>
      </c>
    </row>
    <row r="3" customFormat="false" ht="42" hidden="false" customHeight="true" outlineLevel="0" collapsed="false">
      <c r="A3" s="102" t="s">
        <v>509</v>
      </c>
      <c r="B3" s="103" t="s">
        <v>235</v>
      </c>
      <c r="C3" s="104" t="n">
        <v>1</v>
      </c>
      <c r="D3" s="105" t="s">
        <v>510</v>
      </c>
      <c r="E3" s="104" t="s">
        <v>511</v>
      </c>
      <c r="F3" s="25" t="s">
        <v>106</v>
      </c>
      <c r="G3" s="106" t="s">
        <v>512</v>
      </c>
      <c r="H3" s="25" t="s">
        <v>513</v>
      </c>
      <c r="I3" s="25" t="s">
        <v>514</v>
      </c>
      <c r="J3" s="25" t="s">
        <v>515</v>
      </c>
      <c r="K3" s="103" t="s">
        <v>516</v>
      </c>
    </row>
    <row r="4" customFormat="false" ht="42" hidden="false" customHeight="true" outlineLevel="0" collapsed="false">
      <c r="A4" s="102" t="s">
        <v>517</v>
      </c>
      <c r="B4" s="103" t="s">
        <v>518</v>
      </c>
      <c r="C4" s="104" t="n">
        <v>1</v>
      </c>
      <c r="D4" s="105" t="s">
        <v>519</v>
      </c>
      <c r="E4" s="104" t="s">
        <v>520</v>
      </c>
      <c r="F4" s="25" t="s">
        <v>106</v>
      </c>
      <c r="G4" s="107" t="s">
        <v>521</v>
      </c>
      <c r="H4" s="25" t="s">
        <v>522</v>
      </c>
      <c r="I4" s="25" t="s">
        <v>514</v>
      </c>
      <c r="J4" s="25" t="s">
        <v>515</v>
      </c>
      <c r="K4" s="103" t="s">
        <v>523</v>
      </c>
    </row>
    <row r="5" customFormat="false" ht="42" hidden="false" customHeight="true" outlineLevel="0" collapsed="false">
      <c r="A5" s="108" t="s">
        <v>524</v>
      </c>
      <c r="B5" s="109" t="s">
        <v>262</v>
      </c>
      <c r="C5" s="110" t="n">
        <v>3</v>
      </c>
      <c r="D5" s="111" t="s">
        <v>525</v>
      </c>
      <c r="E5" s="110" t="s">
        <v>526</v>
      </c>
      <c r="F5" s="112" t="s">
        <v>527</v>
      </c>
      <c r="G5" s="112" t="s">
        <v>382</v>
      </c>
      <c r="H5" s="110" t="s">
        <v>139</v>
      </c>
      <c r="I5" s="23" t="s">
        <v>528</v>
      </c>
      <c r="J5" s="23" t="s">
        <v>529</v>
      </c>
      <c r="K5" s="109" t="s">
        <v>530</v>
      </c>
    </row>
    <row r="6" customFormat="false" ht="42" hidden="false" customHeight="true" outlineLevel="0" collapsed="false">
      <c r="A6" s="108" t="s">
        <v>531</v>
      </c>
      <c r="B6" s="109" t="s">
        <v>532</v>
      </c>
      <c r="C6" s="110" t="n">
        <v>1</v>
      </c>
      <c r="D6" s="111" t="s">
        <v>533</v>
      </c>
      <c r="E6" s="110" t="s">
        <v>534</v>
      </c>
      <c r="F6" s="112" t="s">
        <v>527</v>
      </c>
      <c r="G6" s="113" t="s">
        <v>512</v>
      </c>
      <c r="H6" s="110" t="s">
        <v>139</v>
      </c>
      <c r="I6" s="23" t="s">
        <v>528</v>
      </c>
      <c r="J6" s="23" t="s">
        <v>529</v>
      </c>
      <c r="K6" s="109" t="s">
        <v>535</v>
      </c>
    </row>
    <row r="7" customFormat="false" ht="42" hidden="false" customHeight="true" outlineLevel="0" collapsed="false">
      <c r="A7" s="108" t="s">
        <v>536</v>
      </c>
      <c r="B7" s="109" t="s">
        <v>274</v>
      </c>
      <c r="C7" s="110" t="n">
        <v>3</v>
      </c>
      <c r="D7" s="111" t="s">
        <v>537</v>
      </c>
      <c r="E7" s="110" t="s">
        <v>537</v>
      </c>
      <c r="F7" s="112" t="s">
        <v>527</v>
      </c>
      <c r="G7" s="112" t="s">
        <v>537</v>
      </c>
      <c r="H7" s="110" t="s">
        <v>139</v>
      </c>
      <c r="I7" s="23" t="s">
        <v>528</v>
      </c>
      <c r="J7" s="23" t="s">
        <v>529</v>
      </c>
      <c r="K7" s="109" t="s">
        <v>538</v>
      </c>
    </row>
    <row r="8" customFormat="false" ht="42" hidden="false" customHeight="true" outlineLevel="0" collapsed="false">
      <c r="A8" s="114" t="s">
        <v>539</v>
      </c>
      <c r="B8" s="115" t="s">
        <v>540</v>
      </c>
      <c r="C8" s="116" t="n">
        <v>2</v>
      </c>
      <c r="D8" s="117" t="s">
        <v>537</v>
      </c>
      <c r="E8" s="116" t="s">
        <v>537</v>
      </c>
      <c r="F8" s="118" t="s">
        <v>527</v>
      </c>
      <c r="G8" s="118" t="s">
        <v>537</v>
      </c>
      <c r="H8" s="116" t="s">
        <v>139</v>
      </c>
      <c r="I8" s="27" t="s">
        <v>541</v>
      </c>
      <c r="J8" s="119" t="s">
        <v>542</v>
      </c>
      <c r="K8" s="115" t="s">
        <v>543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32"/>
    <col collapsed="false" customWidth="true" hidden="false" outlineLevel="0" max="7" min="7" style="1" width="13"/>
    <col collapsed="false" customWidth="true" hidden="false" outlineLevel="0" max="8" min="8" style="1" width="34"/>
  </cols>
  <sheetData>
    <row r="1" customFormat="false" ht="21.75" hidden="false" customHeight="true" outlineLevel="0" collapsed="false">
      <c r="A1" s="47" t="s">
        <v>544</v>
      </c>
      <c r="B1" s="47"/>
      <c r="C1" s="47"/>
      <c r="D1" s="47"/>
      <c r="E1" s="47"/>
      <c r="F1" s="47"/>
      <c r="G1" s="47"/>
      <c r="H1" s="47"/>
    </row>
    <row r="2" customFormat="false" ht="31.5" hidden="false" customHeight="true" outlineLevel="0" collapsed="false">
      <c r="A2" s="18" t="s">
        <v>82</v>
      </c>
      <c r="B2" s="18" t="s">
        <v>545</v>
      </c>
      <c r="C2" s="18" t="s">
        <v>546</v>
      </c>
      <c r="D2" s="18" t="s">
        <v>547</v>
      </c>
      <c r="E2" s="18" t="s">
        <v>548</v>
      </c>
      <c r="F2" s="18" t="s">
        <v>549</v>
      </c>
      <c r="G2" s="18" t="s">
        <v>550</v>
      </c>
      <c r="H2" s="18" t="s">
        <v>93</v>
      </c>
    </row>
    <row r="3" customFormat="false" ht="39.75" hidden="false" customHeight="true" outlineLevel="0" collapsed="false">
      <c r="A3" s="102" t="s">
        <v>551</v>
      </c>
      <c r="B3" s="105" t="s">
        <v>552</v>
      </c>
      <c r="C3" s="105" t="s">
        <v>553</v>
      </c>
      <c r="D3" s="105" t="s">
        <v>554</v>
      </c>
      <c r="E3" s="40" t="s">
        <v>555</v>
      </c>
      <c r="F3" s="103" t="s">
        <v>556</v>
      </c>
      <c r="G3" s="104" t="s">
        <v>557</v>
      </c>
      <c r="H3" s="103" t="s">
        <v>558</v>
      </c>
    </row>
    <row r="4" customFormat="false" ht="39.75" hidden="false" customHeight="true" outlineLevel="0" collapsed="false">
      <c r="A4" s="102" t="s">
        <v>559</v>
      </c>
      <c r="B4" s="105" t="s">
        <v>560</v>
      </c>
      <c r="C4" s="105" t="s">
        <v>561</v>
      </c>
      <c r="D4" s="105" t="s">
        <v>562</v>
      </c>
      <c r="E4" s="40" t="s">
        <v>555</v>
      </c>
      <c r="F4" s="103" t="s">
        <v>563</v>
      </c>
      <c r="G4" s="104" t="s">
        <v>557</v>
      </c>
      <c r="H4" s="103" t="s">
        <v>564</v>
      </c>
    </row>
    <row r="5" customFormat="false" ht="39.75" hidden="false" customHeight="true" outlineLevel="0" collapsed="false">
      <c r="A5" s="102" t="s">
        <v>565</v>
      </c>
      <c r="B5" s="105" t="s">
        <v>566</v>
      </c>
      <c r="C5" s="105" t="s">
        <v>567</v>
      </c>
      <c r="D5" s="105" t="s">
        <v>568</v>
      </c>
      <c r="E5" s="40" t="s">
        <v>555</v>
      </c>
      <c r="F5" s="103" t="s">
        <v>569</v>
      </c>
      <c r="G5" s="104" t="s">
        <v>557</v>
      </c>
      <c r="H5" s="103" t="s">
        <v>570</v>
      </c>
    </row>
    <row r="6" customFormat="false" ht="39.75" hidden="false" customHeight="true" outlineLevel="0" collapsed="false">
      <c r="A6" s="114" t="s">
        <v>571</v>
      </c>
      <c r="B6" s="117" t="s">
        <v>572</v>
      </c>
      <c r="C6" s="117" t="s">
        <v>573</v>
      </c>
      <c r="D6" s="117" t="s">
        <v>574</v>
      </c>
      <c r="E6" s="120" t="s">
        <v>575</v>
      </c>
      <c r="F6" s="115" t="s">
        <v>576</v>
      </c>
      <c r="G6" s="116" t="s">
        <v>576</v>
      </c>
      <c r="H6" s="115" t="s">
        <v>577</v>
      </c>
    </row>
    <row r="7" customFormat="false" ht="39.75" hidden="false" customHeight="true" outlineLevel="0" collapsed="false">
      <c r="A7" s="114" t="s">
        <v>578</v>
      </c>
      <c r="B7" s="117" t="s">
        <v>566</v>
      </c>
      <c r="C7" s="117" t="s">
        <v>579</v>
      </c>
      <c r="D7" s="117" t="s">
        <v>580</v>
      </c>
      <c r="E7" s="120" t="s">
        <v>575</v>
      </c>
      <c r="F7" s="115" t="s">
        <v>576</v>
      </c>
      <c r="G7" s="116" t="s">
        <v>576</v>
      </c>
      <c r="H7" s="115" t="s">
        <v>581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6"/>
  </cols>
  <sheetData>
    <row r="1" customFormat="false" ht="24" hidden="false" customHeight="true" outlineLevel="0" collapsed="false">
      <c r="A1" s="2" t="s">
        <v>582</v>
      </c>
      <c r="B1" s="2"/>
    </row>
    <row r="2" customFormat="false" ht="15.75" hidden="false" customHeight="true" outlineLevel="0" collapsed="false">
      <c r="A2" s="17" t="s">
        <v>583</v>
      </c>
      <c r="B2" s="17"/>
    </row>
    <row r="4" customFormat="false" ht="15" hidden="false" customHeight="true" outlineLevel="0" collapsed="false">
      <c r="A4" s="121" t="s">
        <v>584</v>
      </c>
      <c r="B4" s="121" t="s">
        <v>585</v>
      </c>
    </row>
    <row r="5" customFormat="false" ht="37.5" hidden="false" customHeight="true" outlineLevel="0" collapsed="false">
      <c r="A5" s="6" t="s">
        <v>586</v>
      </c>
      <c r="B5" s="7" t="s">
        <v>587</v>
      </c>
    </row>
    <row r="6" customFormat="false" ht="30" hidden="false" customHeight="true" outlineLevel="0" collapsed="false">
      <c r="A6" s="6" t="s">
        <v>588</v>
      </c>
      <c r="B6" s="7" t="s">
        <v>589</v>
      </c>
    </row>
    <row r="7" customFormat="false" ht="37.5" hidden="false" customHeight="true" outlineLevel="0" collapsed="false">
      <c r="A7" s="6" t="s">
        <v>590</v>
      </c>
      <c r="B7" s="7" t="s">
        <v>591</v>
      </c>
    </row>
    <row r="8" customFormat="false" ht="37.5" hidden="false" customHeight="true" outlineLevel="0" collapsed="false">
      <c r="A8" s="6" t="s">
        <v>592</v>
      </c>
      <c r="B8" s="7" t="s">
        <v>593</v>
      </c>
    </row>
    <row r="9" customFormat="false" ht="37.5" hidden="false" customHeight="true" outlineLevel="0" collapsed="false">
      <c r="A9" s="6" t="s">
        <v>594</v>
      </c>
      <c r="B9" s="7" t="s">
        <v>595</v>
      </c>
    </row>
    <row r="10" customFormat="false" ht="37.5" hidden="false" customHeight="true" outlineLevel="0" collapsed="false">
      <c r="A10" s="6" t="s">
        <v>596</v>
      </c>
      <c r="B10" s="7" t="s">
        <v>597</v>
      </c>
    </row>
    <row r="11" customFormat="false" ht="37.5" hidden="false" customHeight="true" outlineLevel="0" collapsed="false">
      <c r="A11" s="6" t="s">
        <v>598</v>
      </c>
      <c r="B11" s="7" t="s">
        <v>599</v>
      </c>
    </row>
    <row r="12" customFormat="false" ht="30" hidden="false" customHeight="true" outlineLevel="0" collapsed="false">
      <c r="A12" s="6" t="s">
        <v>600</v>
      </c>
      <c r="B12" s="7" t="s">
        <v>601</v>
      </c>
    </row>
    <row r="13" customFormat="false" ht="30" hidden="false" customHeight="true" outlineLevel="0" collapsed="false">
      <c r="A13" s="6" t="s">
        <v>602</v>
      </c>
      <c r="B13" s="7" t="s">
        <v>603</v>
      </c>
    </row>
    <row r="14" customFormat="false" ht="37.5" hidden="false" customHeight="true" outlineLevel="0" collapsed="false">
      <c r="A14" s="6" t="s">
        <v>604</v>
      </c>
      <c r="B14" s="7" t="s">
        <v>605</v>
      </c>
    </row>
    <row r="15" customFormat="false" ht="37.5" hidden="false" customHeight="true" outlineLevel="0" collapsed="false">
      <c r="A15" s="6" t="s">
        <v>606</v>
      </c>
      <c r="B15" s="7" t="s">
        <v>607</v>
      </c>
    </row>
    <row r="16" customFormat="false" ht="37.5" hidden="false" customHeight="true" outlineLevel="0" collapsed="false">
      <c r="A16" s="6" t="s">
        <v>608</v>
      </c>
      <c r="B16" s="7" t="s">
        <v>609</v>
      </c>
    </row>
    <row r="17" customFormat="false" ht="30" hidden="false" customHeight="true" outlineLevel="0" collapsed="false">
      <c r="A17" s="6" t="s">
        <v>610</v>
      </c>
      <c r="B17" s="7" t="s">
        <v>611</v>
      </c>
    </row>
    <row r="18" customFormat="false" ht="37.5" hidden="false" customHeight="true" outlineLevel="0" collapsed="false">
      <c r="A18" s="6" t="s">
        <v>612</v>
      </c>
      <c r="B18" s="7" t="s">
        <v>613</v>
      </c>
    </row>
    <row r="19" customFormat="false" ht="37.5" hidden="false" customHeight="true" outlineLevel="0" collapsed="false">
      <c r="A19" s="6" t="s">
        <v>614</v>
      </c>
      <c r="B19" s="7" t="s">
        <v>615</v>
      </c>
    </row>
    <row r="20" customFormat="false" ht="30" hidden="false" customHeight="true" outlineLevel="0" collapsed="false">
      <c r="A20" s="6" t="s">
        <v>616</v>
      </c>
      <c r="B20" s="7" t="s">
        <v>617</v>
      </c>
    </row>
    <row r="21" customFormat="false" ht="37.5" hidden="false" customHeight="true" outlineLevel="0" collapsed="false">
      <c r="A21" s="6" t="s">
        <v>618</v>
      </c>
      <c r="B21" s="7" t="s">
        <v>619</v>
      </c>
    </row>
    <row r="22" customFormat="false" ht="37.5" hidden="false" customHeight="true" outlineLevel="0" collapsed="false">
      <c r="A22" s="6" t="s">
        <v>620</v>
      </c>
      <c r="B22" s="7" t="s">
        <v>621</v>
      </c>
    </row>
    <row r="23" customFormat="false" ht="37.5" hidden="false" customHeight="true" outlineLevel="0" collapsed="false">
      <c r="A23" s="6" t="s">
        <v>622</v>
      </c>
      <c r="B23" s="7" t="s">
        <v>623</v>
      </c>
    </row>
    <row r="24" customFormat="false" ht="37.5" hidden="false" customHeight="true" outlineLevel="0" collapsed="false">
      <c r="A24" s="6" t="s">
        <v>624</v>
      </c>
      <c r="B24" s="7" t="s">
        <v>625</v>
      </c>
    </row>
    <row r="25" customFormat="false" ht="37.5" hidden="false" customHeight="true" outlineLevel="0" collapsed="false">
      <c r="A25" s="6" t="s">
        <v>626</v>
      </c>
      <c r="B25" s="7" t="s">
        <v>627</v>
      </c>
    </row>
    <row r="26" customFormat="false" ht="37.5" hidden="false" customHeight="true" outlineLevel="0" collapsed="false">
      <c r="A26" s="6" t="s">
        <v>628</v>
      </c>
      <c r="B26" s="7" t="s">
        <v>629</v>
      </c>
    </row>
    <row r="27" customFormat="false" ht="37.5" hidden="false" customHeight="true" outlineLevel="0" collapsed="false">
      <c r="A27" s="6" t="s">
        <v>630</v>
      </c>
      <c r="B27" s="7" t="s">
        <v>631</v>
      </c>
    </row>
    <row r="29" customFormat="false" ht="54" hidden="false" customHeight="true" outlineLevel="0" collapsed="false">
      <c r="A29" s="1" t="s">
        <v>632</v>
      </c>
      <c r="B29" s="122" t="s">
        <v>633</v>
      </c>
    </row>
    <row r="30" customFormat="false" ht="54" hidden="false" customHeight="true" outlineLevel="0" collapsed="false">
      <c r="A30" s="1" t="s">
        <v>634</v>
      </c>
      <c r="B30" s="122" t="s">
        <v>635</v>
      </c>
    </row>
    <row r="31" customFormat="false" ht="36" hidden="false" customHeight="true" outlineLevel="0" collapsed="false">
      <c r="A31" s="12" t="s">
        <v>636</v>
      </c>
      <c r="B31" s="14" t="s">
        <v>637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2026-06-26T22:55:14Z</dcterms:created>
  <dc:creator>openpyxl</dc:creator>
  <dc:description/>
  <dc:language>en-US</dc:language>
  <cp:lastModifiedBy/>
  <dcterms:modified xsi:type="dcterms:W3CDTF">2026-06-30T03:09:09Z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